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8.xml.rels" ContentType="application/vnd.openxmlformats-package.relationships+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Contents" sheetId="2" state="visible" r:id="rId4"/>
    <sheet name="Basis" sheetId="3" state="visible" r:id="rId5"/>
    <sheet name="Reconciliation" sheetId="4" state="visible" r:id="rId6"/>
    <sheet name="4a Revenue quality" sheetId="5" state="visible" r:id="rId7"/>
    <sheet name="4b Concentration" sheetId="6" state="visible" r:id="rId8"/>
    <sheet name="4c Cohorts" sheetId="7" state="visible" r:id="rId9"/>
    <sheet name="4d NRR GRR" sheetId="8" state="visible" r:id="rId10"/>
    <sheet name="4e ARR bridge" sheetId="9" state="visible" r:id="rId11"/>
    <sheet name="4f Margin" sheetId="10" state="visible" r:id="rId12"/>
    <sheet name="4g Segments" sheetId="11" state="visible" r:id="rId13"/>
    <sheet name="Q&amp;A log" sheetId="12" state="visible" r:id="rId14"/>
    <sheet name="Checks"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<sst xmlns="http://schemas.openxmlformats.org/spreadsheetml/2006/main" count="1169" uniqueCount="703">
  <si>
    <t xml:space="preserve">Project Northbridge</t>
  </si>
  <si>
    <t xml:space="preserve">Buy-side financial due diligence: Transaction Analytics databook</t>
  </si>
  <si>
    <t xml:space="preserve">Target: Northbridge Software Ltd</t>
  </si>
  <si>
    <t xml:space="preserve">Status: DRAFT for discussion. Subject to management's answers to the Q&amp;A log.</t>
  </si>
  <si>
    <t xml:space="preserve">Date: 27 September 2026</t>
  </si>
  <si>
    <t xml:space="preserve">Data: data-room extract, January 2022 to December 2025 (six tables).</t>
  </si>
  <si>
    <t xml:space="preserve">Synthetic data. This is a self-directed simulation of buy-side financial due diligence on a fictional company, built for a portfolio. It is not client work and uses no real company's data.</t>
  </si>
  <si>
    <t xml:space="preserve">Colour convention: blue figures are inputs loaded from the pipeline (outputs/tables/); black figures are Excel formulas.</t>
  </si>
  <si>
    <t xml:space="preserve">Units: £'000 unless a column says otherwise. Negative numbers are shown in brackets.</t>
  </si>
  <si>
    <t xml:space="preserve">Contents</t>
  </si>
  <si>
    <t xml:space="preserve">Tab</t>
  </si>
  <si>
    <t xml:space="preserve">What it shows</t>
  </si>
  <si>
    <t xml:space="preserve">Basis</t>
  </si>
  <si>
    <t xml:space="preserve">Data sources, period, definitions, cleaning adjustments and limitations</t>
  </si>
  <si>
    <t xml:space="preserve">Reconciliation</t>
  </si>
  <si>
    <t xml:space="preserve">Monthly, annual and product-line reconciliation and the source-to-reported walk</t>
  </si>
  <si>
    <t xml:space="preserve">4a Revenue quality</t>
  </si>
  <si>
    <t xml:space="preserve">Recurring and one-off revenue, ARR at each year end, headline against normalised growth</t>
  </si>
  <si>
    <t xml:space="preserve">4b Concentration</t>
  </si>
  <si>
    <t xml:space="preserve">Top 1/5/10/20 shares, large accounts, declining top customers</t>
  </si>
  <si>
    <t xml:space="preserve">4c Cohorts</t>
  </si>
  <si>
    <t xml:space="preserve">Retention at 6, 12 and 18 months by signup year, older against newer cohorts, retention triangles</t>
  </si>
  <si>
    <t xml:space="preserve">4d NRR GRR</t>
  </si>
  <si>
    <t xml:space="preserve">NRR and GRR by year with sensitivities (excluding top 5, excluding price) and sourced SMB benchmarks</t>
  </si>
  <si>
    <t xml:space="preserve">4e ARR bridge</t>
  </si>
  <si>
    <t xml:space="preserve">ARR bridge December to December and the year-on-year revenue bridge</t>
  </si>
  <si>
    <t xml:space="preserve">4f Margin</t>
  </si>
  <si>
    <t xml:space="preserve">Gross margin by line, mix against rate, reconciliation to management gross profit, size bands, discounts</t>
  </si>
  <si>
    <t xml:space="preserve">4g Segments</t>
  </si>
  <si>
    <t xml:space="preserve">Revenue, growth, logo churn, NRR and GRR by industry, region, channel and size, with sample sizes</t>
  </si>
  <si>
    <t xml:space="preserve">Q&amp;A log</t>
  </si>
  <si>
    <t xml:space="preserve">Questions for management raised by Steps 2 to 4</t>
  </si>
  <si>
    <t xml:space="preserve">Checks</t>
  </si>
  <si>
    <t xml:space="preserve">Every tie-out as a TRUE/FALSE formula, and one overall check</t>
  </si>
  <si>
    <t xml:space="preserve">Basis of preparation</t>
  </si>
  <si>
    <t xml:space="preserve">Units: £'000 unless stated</t>
  </si>
  <si>
    <t xml:space="preserve">Source: data room; docs/cleaning_log.md; docs/metric_definitions.md</t>
  </si>
  <si>
    <t xml:space="preserve">Data sources</t>
  </si>
  <si>
    <t xml:space="preserve">Six CSV tables from the seller's data room: customers, products, subscriptions, invoices, costs and monthly management accounts.</t>
  </si>
  <si>
    <t xml:space="preserve">Period</t>
  </si>
  <si>
    <t xml:space="preserve">January 2022 to December 2025, monthly. Customer signups and contract start dates go back to 2017.</t>
  </si>
  <si>
    <t xml:space="preserve">Revenue basis</t>
  </si>
  <si>
    <t xml:space="preserve">Cleaned invoice ledger (the revenue cube). It ties to the management accounts' product lines in all 48 months (Reconciliation tab).</t>
  </si>
  <si>
    <t xml:space="preserve">Definitions</t>
  </si>
  <si>
    <t xml:space="preserve">All metrics follow docs/metric_definitions.md (link below). Key terms: net revenue = billings plus credit notes; MRR = recurring billings before credit notes; ARR = December MRR × 12.</t>
  </si>
  <si>
    <t xml:space="preserve">NRR and GRR</t>
  </si>
  <si>
    <t xml:space="preserve">Available for 2023, 2024 and 2025 only: the data has no December 2021 opening point.</t>
  </si>
  <si>
    <t xml:space="preserve">Price increases</t>
  </si>
  <si>
    <t xml:space="preserve">Every recurring line was billed 5% above its contracted price from January 2024 and a further 7% from January 2025; treated as a price increase (Q15).</t>
  </si>
  <si>
    <t xml:space="preserve">Metric definitions</t>
  </si>
  <si>
    <t xml:space="preserve">https://github.com/xbhxnxv/northbridge-buyside-diligence/blob/main/docs/metric_definitions.md</t>
  </si>
  <si>
    <t xml:space="preserve">Cleaning adjustments: change to net revenue (£'000)</t>
  </si>
  <si>
    <t xml:space="preserve">Adjustment</t>
  </si>
  <si>
    <t xml:space="preserve">Issue</t>
  </si>
  <si>
    <t xml:space="preserve">Table</t>
  </si>
  <si>
    <t xml:space="preserve">Action</t>
  </si>
  <si>
    <t xml:space="preserve">Records</t>
  </si>
  <si>
    <t xml:space="preserve">2022</t>
  </si>
  <si>
    <t xml:space="preserve">2023</t>
  </si>
  <si>
    <t xml:space="preserve">2024</t>
  </si>
  <si>
    <t xml:space="preserve">2025</t>
  </si>
  <si>
    <t xml:space="preserve">Total</t>
  </si>
  <si>
    <t xml:space="preserve">Rule</t>
  </si>
  <si>
    <t xml:space="preserve">A01</t>
  </si>
  <si>
    <t xml:space="preserve">P04</t>
  </si>
  <si>
    <t xml:space="preserve">invoices</t>
  </si>
  <si>
    <t xml:space="preserve">removed</t>
  </si>
  <si>
    <t xml:space="preserve">Remove exact duplicate invoices. Duplicate key: customer_id, product_id, invoice_date, amount, revenue_type, status. Keep the lowest invoice_id; remove the later copy.</t>
  </si>
  <si>
    <t xml:space="preserve">A02</t>
  </si>
  <si>
    <t xml:space="preserve">P06</t>
  </si>
  <si>
    <t xml:space="preserve">flagged</t>
  </si>
  <si>
    <t xml:space="preserve">Flag negative amounts on invoices marked paid or overdue (anomaly_flag) and carry amount_as_reported, amount_flipped and amount_excluded. Settled in Step 3: the cube uses amount_excluded (cfg_settings.anomaly_treatment = excluded), so these rows contribute zero to revenue and MRR.</t>
  </si>
  <si>
    <t xml:space="preserve">A03</t>
  </si>
  <si>
    <t xml:space="preserve">P03</t>
  </si>
  <si>
    <t xml:space="preserve">linked</t>
  </si>
  <si>
    <t xml:space="preserve">Keep credit notes as negative revenue in the month they are dated. Link each to the original invoice with the same customer, product, date and absolute amount (credit_note_original_id, credited_by_id).</t>
  </si>
  <si>
    <t xml:space="preserve">A04</t>
  </si>
  <si>
    <t xml:space="preserve">P08</t>
  </si>
  <si>
    <t xml:space="preserve">customers</t>
  </si>
  <si>
    <t xml:space="preserve">filled</t>
  </si>
  <si>
    <t xml:space="preserve">Set missing industry to Unknown and set industry_missing_flag.</t>
  </si>
  <si>
    <t xml:space="preserve">A05</t>
  </si>
  <si>
    <t xml:space="preserve">P07</t>
  </si>
  <si>
    <t xml:space="preserve">Set name_collision_flag where another customer_id shares the normalised name key. No ids are merged.</t>
  </si>
  <si>
    <t xml:space="preserve">A06</t>
  </si>
  <si>
    <t xml:space="preserve">P11</t>
  </si>
  <si>
    <t xml:space="preserve">standardised</t>
  </si>
  <si>
    <t xml:space="preserve">Build customer_name_std: trim, collapse spaces, strip trailing punctuation, Limited to Ltd, Grp to Group, "and" to "&amp;". The raw customer_name is kept.</t>
  </si>
  <si>
    <t xml:space="preserve">A07</t>
  </si>
  <si>
    <t xml:space="preserve">P02</t>
  </si>
  <si>
    <t xml:space="preserve">categorised</t>
  </si>
  <si>
    <t xml:space="preserve">Set oneoff_category on one-off invoices: signup_implementation when billed in the customer's signup month, other_implementation otherwise.</t>
  </si>
  <si>
    <t xml:space="preserve">A08</t>
  </si>
  <si>
    <t xml:space="preserve">P05</t>
  </si>
  <si>
    <t xml:space="preserve">management_accounts</t>
  </si>
  <si>
    <t xml:space="preserve">Carry revenue_sum_of_lines, lines_less_total and lines_total_mismatch_flag alongside the reported total_revenue.</t>
  </si>
  <si>
    <t xml:space="preserve">A09</t>
  </si>
  <si>
    <t xml:space="preserve">P10</t>
  </si>
  <si>
    <t xml:space="preserve">Set before_signup_flag where invoice_date is earlier than the customer's signup_date. No change to dates.</t>
  </si>
  <si>
    <t xml:space="preserve">A10</t>
  </si>
  <si>
    <t xml:space="preserve">P01</t>
  </si>
  <si>
    <t xml:space="preserve">Set is_large_account where any subscription line is priced at 10x list price or more.</t>
  </si>
  <si>
    <t xml:space="preserve">Check: raw invoice total + adjustments = cube net revenue (all years)</t>
  </si>
  <si>
    <t xml:space="preserve">Limitations</t>
  </si>
  <si>
    <t xml:space="preserve">- Synthetic data room; no access to management, contracts, the general ledger or the bank statements.</t>
  </si>
  <si>
    <t xml:space="preserve">- Four monthly differences between reported total revenue and the product lines are unexplained (Q07, Q12 to Q14).</t>
  </si>
  <si>
    <t xml:space="preserve">- Margin by customer size depends on the cost allocation basis; the data room has no cost-to-serve driver.</t>
  </si>
  <si>
    <t xml:space="preserve">- SaaS benchmarks on the 4d tab are survey medians whose definitions differ from ours in places (docs/benchmarks.md).</t>
  </si>
  <si>
    <t xml:space="preserve">- Customer lifecycle before 2022 relies on subscription dates; invoices before 2022 are not in the data room.</t>
  </si>
  <si>
    <t xml:space="preserve">Reconciliation of the revenue cube to the management accounts</t>
  </si>
  <si>
    <t xml:space="preserve">Units: £'000 unless stated; differences are cube less reported</t>
  </si>
  <si>
    <t xml:space="preserve">Source: outputs/tables/step3_*.csv (sql/04_reconciliation.sql); anomaly treatment: excluded (decision D01)</t>
  </si>
  <si>
    <t xml:space="preserve">Monthly revenue reconciliation</t>
  </si>
  <si>
    <t xml:space="preserve">Month</t>
  </si>
  <si>
    <t xml:space="preserve">Year</t>
  </si>
  <si>
    <t xml:space="preserve">Mgmt total revenue</t>
  </si>
  <si>
    <t xml:space="preserve">Mgmt sum of lines</t>
  </si>
  <si>
    <t xml:space="preserve">Cube net revenue</t>
  </si>
  <si>
    <t xml:space="preserve">Difference</t>
  </si>
  <si>
    <t xml:space="preserve">Difference %</t>
  </si>
  <si>
    <t xml:space="preserve">Difference vs lines</t>
  </si>
  <si>
    <t xml:space="preserve">Status</t>
  </si>
  <si>
    <t xml:space="preserve">Explanation</t>
  </si>
  <si>
    <t xml:space="preserve">tied</t>
  </si>
  <si>
    <t xml:space="preserve">explained</t>
  </si>
  <si>
    <t xml:space="preserve">Ties once 1 negative paid invoice(s) (INV740991, £702.47 as supplied) are excluded, as management did (A02, Q11).</t>
  </si>
  <si>
    <t xml:space="preserve">Ties once 1 negative paid invoice(s) (INV751844, £1,136.08 as supplied) are excluded, as management did (A02, Q11).</t>
  </si>
  <si>
    <t xml:space="preserve">Ties once 1 negative paid invoice(s) (INV717181, £1,030.98 as supplied) are excluded, as management did (A02, Q11).</t>
  </si>
  <si>
    <t xml:space="preserve">Ties once 1 negative paid invoice(s) (INV722989, £2,919.22 as supplied) are excluded, as management did (A02, Q11).</t>
  </si>
  <si>
    <t xml:space="preserve">Ties once 1 negative paid invoice(s) (INV754430, £550.00 as supplied) are excluded, as management did (A02, Q11).</t>
  </si>
  <si>
    <t xml:space="preserve">unexplained</t>
  </si>
  <si>
    <t xml:space="preserve">Cube ties to the sum of the management product lines. The reported total is £18,500 below the lines, a manual difference not allocated to any product line (Q07, Q12 to Q14).</t>
  </si>
  <si>
    <t xml:space="preserve">Ties once 2 negative paid invoice(s) (INV710858, INV758329, £1,568.96 as supplied) are excluded, as management did (A02, Q11).</t>
  </si>
  <si>
    <t xml:space="preserve">Cube ties to the sum of the management product lines. The reported total is £12,000 above the lines, a manual difference not allocated to any product line (Q07, Q12 to Q14). The month also holds 2 negative paid invoice(s) (INV742515, INV775990), excluded as management did.</t>
  </si>
  <si>
    <t xml:space="preserve">Ties once 2 negative paid invoice(s) (INV749523, INV757592, £1,054.82 as supplied) are excluded, as management did (A02, Q11).</t>
  </si>
  <si>
    <t xml:space="preserve">Ties once 1 negative paid invoice(s) (INV713623, £692.38 as supplied) are excluded, as management did (A02, Q11).</t>
  </si>
  <si>
    <t xml:space="preserve">Ties once 1 negative paid invoice(s) (INV706900, £521.81 as supplied) are excluded, as management did (A02, Q11).</t>
  </si>
  <si>
    <t xml:space="preserve">Cube ties to the sum of the management product lines. The reported total is £9,500 below the lines, a manual difference not allocated to any product line (Q07, Q12 to Q14).</t>
  </si>
  <si>
    <t xml:space="preserve">Cube ties to the sum of the management product lines. The reported total is £15,000 above the lines, a manual difference not allocated to any product line (Q07, Q12 to Q14).</t>
  </si>
  <si>
    <t xml:space="preserve">Ties once 1 negative paid invoice(s) (INV732944, £599.63 as supplied) are excluded, as management did (A02, Q11).</t>
  </si>
  <si>
    <t xml:space="preserve">Ties once 1 negative paid invoice(s) (INV759641, £1,263.00 as supplied) are excluded, as management did (A02, Q11).</t>
  </si>
  <si>
    <t xml:space="preserve">Annual reconciliation</t>
  </si>
  <si>
    <t xml:space="preserve">Months unexplained</t>
  </si>
  <si>
    <t xml:space="preserve">Unexplained items</t>
  </si>
  <si>
    <t xml:space="preserve">Cube net per pipeline</t>
  </si>
  <si>
    <t xml:space="preserve">Check</t>
  </si>
  <si>
    <t xml:space="preserve">Source-to-reported walk (anomaly treatment: excluded)</t>
  </si>
  <si>
    <t xml:space="preserve">£'000</t>
  </si>
  <si>
    <t xml:space="preserve">Raw gross billings</t>
  </si>
  <si>
    <t xml:space="preserve">Less duplicates</t>
  </si>
  <si>
    <t xml:space="preserve">Anomaly treatment</t>
  </si>
  <si>
    <t xml:space="preserve">Credit notes</t>
  </si>
  <si>
    <t xml:space="preserve">Unreconciled difference</t>
  </si>
  <si>
    <t xml:space="preserve">Management total revenue</t>
  </si>
  <si>
    <t xml:space="preserve">Check: cube net equals annual table</t>
  </si>
  <si>
    <t xml:space="preserve">Product-line reconciliation (annual)</t>
  </si>
  <si>
    <t xml:space="preserve">Product line</t>
  </si>
  <si>
    <t xml:space="preserve">Mgmt revenue</t>
  </si>
  <si>
    <t xml:space="preserve">Months tied</t>
  </si>
  <si>
    <t xml:space="preserve">Analytics Add-on</t>
  </si>
  <si>
    <t xml:space="preserve">Core Platform</t>
  </si>
  <si>
    <t xml:space="preserve">Implementation Services</t>
  </si>
  <si>
    <t xml:space="preserve">Payments Module</t>
  </si>
  <si>
    <t xml:space="preserve">DRAFT commentary for review (drafted from outputs/key_findings.md):
F08 (Low): Revenue is real and reconciles. The cleaned invoice ledger ties to the management accounts' product lines in all 48 months. Reported total revenue carries four unexplained round-number adjustments: the reported total is £18,500 below the invoices in 2023, £2,500 above in 2024 and £15,000 above in 2025. 40 duplicate invoices (£96,957) were removed from the data-room extract, and 15 negative paid invoices suggest reported revenue is understated by £13,844 over four years.</t>
  </si>
  <si>
    <t xml:space="preserve">4a. Revenue quality: recurring against one-off, ARR and growth</t>
  </si>
  <si>
    <t xml:space="preserve">Source: outputs/tables/4a_revenue_mix.csv, 4a_arr.csv, 4a_uplift_factors.csv (notebooks/04a_revenue_quality.ipynb)</t>
  </si>
  <si>
    <t xml:space="preserve">Revenue by type</t>
  </si>
  <si>
    <t xml:space="preserve">Recurring</t>
  </si>
  <si>
    <t xml:space="preserve">Implementation at signup</t>
  </si>
  <si>
    <t xml:space="preserve">Other implementation</t>
  </si>
  <si>
    <t xml:space="preserve">One-off</t>
  </si>
  <si>
    <t xml:space="preserve">Net revenue</t>
  </si>
  <si>
    <t xml:space="preserve">Recurring %</t>
  </si>
  <si>
    <t xml:space="preserve">Other impl. %</t>
  </si>
  <si>
    <t xml:space="preserve">Headline growth</t>
  </si>
  <si>
    <t xml:space="preserve">Recurring growth</t>
  </si>
  <si>
    <t xml:space="preserve">Growth ex other impl.</t>
  </si>
  <si>
    <t xml:space="preserve">Gap: headline less recurring (pts)</t>
  </si>
  <si>
    <t xml:space="preserve">Net revenue per Reconciliation</t>
  </si>
  <si>
    <t xml:space="preserve">ARR at each year end (December MRR × 12)</t>
  </si>
  <si>
    <t xml:space="preserve">ARR</t>
  </si>
  <si>
    <t xml:space="preserve">Active customers</t>
  </si>
  <si>
    <t xml:space="preserve">ARR per customer (£)</t>
  </si>
  <si>
    <t xml:space="preserve">Uplift factor k</t>
  </si>
  <si>
    <t xml:space="preserve">ARR growth</t>
  </si>
  <si>
    <t xml:space="preserve">ARR growth before price increase</t>
  </si>
  <si>
    <t xml:space="preserve">DRAFT commentary for review (drafted from outputs/key_findings.md):
F01 (High): One-off revenue flatters 2025 growth. Headline revenue growth is 22.8%; recurring revenue grew 12.1% and revenue excluding the 45 'other implementation' invoices billed in 2025 grew 11.9%. Those invoices total £4.08m (8.9% of 2025 revenue), all to existing customers, none in the customer's signup month. Recurring share fell from 96.9% in 2024 to 88.5%.</t>
  </si>
  <si>
    <t xml:space="preserve">4b. Customer concentration</t>
  </si>
  <si>
    <t xml:space="preserve">Source: outputs/tables/4b_*.csv (notebooks/04b_concentration.ipynb)</t>
  </si>
  <si>
    <t xml:space="preserve">Share of net revenue and of recurring revenue held by the largest customers</t>
  </si>
  <si>
    <t xml:space="preserve">Top N</t>
  </si>
  <si>
    <t xml:space="preserve">Top-N net revenue</t>
  </si>
  <si>
    <t xml:space="preserve">Total net revenue</t>
  </si>
  <si>
    <t xml:space="preserve">Share of net</t>
  </si>
  <si>
    <t xml:space="preserve">Top-N recurring</t>
  </si>
  <si>
    <t xml:space="preserve">Total recurring</t>
  </si>
  <si>
    <t xml:space="preserve">Share of recurring</t>
  </si>
  <si>
    <t xml:space="preserve">Total per 4a</t>
  </si>
  <si>
    <t xml:space="preserve">Share of net revenue by year (for the chart)</t>
  </si>
  <si>
    <t xml:space="preserve">DRAFT commentary for review (drafted from outputs/key_findings.md):
F05 (High): Six large accounts carry 20.8% of 2025 revenue (32.7% in 2022), and two of them are shrinking. C1052's December ARR fell £983,535 (down 42.4%) to £1.34m after it dropped Analytics Add-on (ended 2025-09-01) and Payments Module (ended 2025-09-01). C1545's December ARR fell £243,915 (down 11.9%) to £1.81m after it dropped Payments Module (ended 2025-02-01). The largest customer was 4.6% of 2025 revenue; no customer exceeded 10% in any year.</t>
  </si>
  <si>
    <t xml:space="preserve">Top 1</t>
  </si>
  <si>
    <t xml:space="preserve">Top 5</t>
  </si>
  <si>
    <t xml:space="preserve">Top 10</t>
  </si>
  <si>
    <t xml:space="preserve">Top 20</t>
  </si>
  <si>
    <t xml:space="preserve">Six large accounts (subscription lines priced at 10x list or more)</t>
  </si>
  <si>
    <t xml:space="preserve">Large accounts' net revenue</t>
  </si>
  <si>
    <t xml:space="preserve">Share</t>
  </si>
  <si>
    <t xml:space="preserve">Top 10 customers by 2025 net revenue: run-rate (ARR = December MRR × 12)</t>
  </si>
  <si>
    <t xml:space="preserve">Rank</t>
  </si>
  <si>
    <t xml:space="preserve">Customer</t>
  </si>
  <si>
    <t xml:space="preserve">Dec 2024 ARR</t>
  </si>
  <si>
    <t xml:space="preserve">Dec 2025 ARR</t>
  </si>
  <si>
    <t xml:space="preserve">Change</t>
  </si>
  <si>
    <t xml:space="preserve">Change %</t>
  </si>
  <si>
    <t xml:space="preserve">Peak ARR</t>
  </si>
  <si>
    <t xml:space="preserve">Change vs peak</t>
  </si>
  <si>
    <t xml:space="preserve">% vs peak</t>
  </si>
  <si>
    <t xml:space="preserve">Declining</t>
  </si>
  <si>
    <t xml:space="preserve">C1052</t>
  </si>
  <si>
    <t xml:space="preserve">C1865</t>
  </si>
  <si>
    <t xml:space="preserve">C1545</t>
  </si>
  <si>
    <t xml:space="preserve">C1881</t>
  </si>
  <si>
    <t xml:space="preserve">C1328</t>
  </si>
  <si>
    <t xml:space="preserve">C1933</t>
  </si>
  <si>
    <t xml:space="preserve">C1069</t>
  </si>
  <si>
    <t xml:space="preserve">C2470</t>
  </si>
  <si>
    <t xml:space="preserve">C2321</t>
  </si>
  <si>
    <t xml:space="preserve">C1964</t>
  </si>
  <si>
    <t xml:space="preserve">4c. Cohorts and retention (tenure-matched)</t>
  </si>
  <si>
    <t xml:space="preserve">Units: % of customers or of month-3 MRR</t>
  </si>
  <si>
    <t xml:space="preserve">Source: outputs/tables/4c_*.csv (notebooks/04c_cohorts.ipynb). Logo retention from subscription dates; revenue retention from invoiced MRR, cohorts from 2022Q1</t>
  </si>
  <si>
    <t xml:space="preserve">Logo retention at the same tenure, by signup year</t>
  </si>
  <si>
    <t xml:space="preserve">Signup year</t>
  </si>
  <si>
    <t xml:space="preserve">Customers (6m)</t>
  </si>
  <si>
    <t xml:space="preserve">Active at 6m</t>
  </si>
  <si>
    <t xml:space="preserve">Retention 6m</t>
  </si>
  <si>
    <t xml:space="preserve">Customers (12m)</t>
  </si>
  <si>
    <t xml:space="preserve">Active at 12m</t>
  </si>
  <si>
    <t xml:space="preserve">Retention 12m</t>
  </si>
  <si>
    <t xml:space="preserve">Customers (18m)</t>
  </si>
  <si>
    <t xml:space="preserve">Active at 18m</t>
  </si>
  <si>
    <t xml:space="preserve">Retention 18m</t>
  </si>
  <si>
    <t xml:space="preserve">2017</t>
  </si>
  <si>
    <t xml:space="preserve">2018</t>
  </si>
  <si>
    <t xml:space="preserve">2019</t>
  </si>
  <si>
    <t xml:space="preserve">2020</t>
  </si>
  <si>
    <t xml:space="preserve">2021</t>
  </si>
  <si>
    <t xml:space="preserve">n/a</t>
  </si>
  <si>
    <t xml:space="preserve">Older (2017-2022) against newer (2023+) signups at the same tenure</t>
  </si>
  <si>
    <t xml:space="preserve">Group</t>
  </si>
  <si>
    <t xml:space="preserve">Tenure (months)</t>
  </si>
  <si>
    <t xml:space="preserve">Customers reaching tenure</t>
  </si>
  <si>
    <t xml:space="preserve">Still subscribed</t>
  </si>
  <si>
    <t xml:space="preserve">Retention</t>
  </si>
  <si>
    <t xml:space="preserve">2017-2022 signups</t>
  </si>
  <si>
    <t xml:space="preserve">2023+ signups</t>
  </si>
  <si>
    <t xml:space="preserve">DRAFT commentary for review (drafted from outputs/key_findings.md):
F04 (High): Newer customers leave faster. At the same tenure, 78.6% of customers who signed up from 2023 were still subscribed after 12 months, against 92.5% for 2017 to 2022 signups (74.6% for the 2024 cohort). The fall appears in every channel, size band and industry; it is largest for Micro customers (91.3% to 66.1%).</t>
  </si>
  <si>
    <t xml:space="preserve">Logo retention triangle: share of each signup quarter still subscribed, by months since signup (0 to 36)</t>
  </si>
  <si>
    <t xml:space="preserve">Signup quarter</t>
  </si>
  <si>
    <t xml:space="preserve">0</t>
  </si>
  <si>
    <t xml:space="preserve">1</t>
  </si>
  <si>
    <t xml:space="preserve">2</t>
  </si>
  <si>
    <t xml:space="preserve">3</t>
  </si>
  <si>
    <t xml:space="preserve">4</t>
  </si>
  <si>
    <t xml:space="preserve">5</t>
  </si>
  <si>
    <t xml:space="preserve">6</t>
  </si>
  <si>
    <t xml:space="preserve">7</t>
  </si>
  <si>
    <t xml:space="preserve">8</t>
  </si>
  <si>
    <t xml:space="preserve">9</t>
  </si>
  <si>
    <t xml:space="preserve">10</t>
  </si>
  <si>
    <t xml:space="preserve">11</t>
  </si>
  <si>
    <t xml:space="preserve">12</t>
  </si>
  <si>
    <t xml:space="preserve">13</t>
  </si>
  <si>
    <t xml:space="preserve">14</t>
  </si>
  <si>
    <t xml:space="preserve">15</t>
  </si>
  <si>
    <t xml:space="preserve">16</t>
  </si>
  <si>
    <t xml:space="preserve">17</t>
  </si>
  <si>
    <t xml:space="preserve">18</t>
  </si>
  <si>
    <t xml:space="preserve">19</t>
  </si>
  <si>
    <t xml:space="preserve">20</t>
  </si>
  <si>
    <t xml:space="preserve">21</t>
  </si>
  <si>
    <t xml:space="preserve">22</t>
  </si>
  <si>
    <t xml:space="preserve">23</t>
  </si>
  <si>
    <t xml:space="preserve">24</t>
  </si>
  <si>
    <t xml:space="preserve">25</t>
  </si>
  <si>
    <t xml:space="preserve">26</t>
  </si>
  <si>
    <t xml:space="preserve">27</t>
  </si>
  <si>
    <t xml:space="preserve">28</t>
  </si>
  <si>
    <t xml:space="preserve">29</t>
  </si>
  <si>
    <t xml:space="preserve">30</t>
  </si>
  <si>
    <t xml:space="preserve">31</t>
  </si>
  <si>
    <t xml:space="preserve">32</t>
  </si>
  <si>
    <t xml:space="preserve">33</t>
  </si>
  <si>
    <t xml:space="preserve">34</t>
  </si>
  <si>
    <t xml:space="preserve">35</t>
  </si>
  <si>
    <t xml:space="preserve">36</t>
  </si>
  <si>
    <t xml:space="preserve">2017Q1</t>
  </si>
  <si>
    <t xml:space="preserve">2017Q2</t>
  </si>
  <si>
    <t xml:space="preserve">2017Q3</t>
  </si>
  <si>
    <t xml:space="preserve">2017Q4</t>
  </si>
  <si>
    <t xml:space="preserve">2018Q1</t>
  </si>
  <si>
    <t xml:space="preserve">2018Q2</t>
  </si>
  <si>
    <t xml:space="preserve">2018Q3</t>
  </si>
  <si>
    <t xml:space="preserve">2018Q4</t>
  </si>
  <si>
    <t xml:space="preserve">2019Q1</t>
  </si>
  <si>
    <t xml:space="preserve">2019Q2</t>
  </si>
  <si>
    <t xml:space="preserve">2019Q3</t>
  </si>
  <si>
    <t xml:space="preserve">2019Q4</t>
  </si>
  <si>
    <t xml:space="preserve">2020Q1</t>
  </si>
  <si>
    <t xml:space="preserve">2020Q2</t>
  </si>
  <si>
    <t xml:space="preserve">2020Q3</t>
  </si>
  <si>
    <t xml:space="preserve">2020Q4</t>
  </si>
  <si>
    <t xml:space="preserve">2021Q1</t>
  </si>
  <si>
    <t xml:space="preserve">2021Q2</t>
  </si>
  <si>
    <t xml:space="preserve">2021Q3</t>
  </si>
  <si>
    <t xml:space="preserve">2021Q4</t>
  </si>
  <si>
    <t xml:space="preserve">2022Q1</t>
  </si>
  <si>
    <t xml:space="preserve">2022Q2</t>
  </si>
  <si>
    <t xml:space="preserve">2022Q3</t>
  </si>
  <si>
    <t xml:space="preserve">2022Q4</t>
  </si>
  <si>
    <t xml:space="preserve">2023Q1</t>
  </si>
  <si>
    <t xml:space="preserve">2023Q2</t>
  </si>
  <si>
    <t xml:space="preserve">2023Q3</t>
  </si>
  <si>
    <t xml:space="preserve">2023Q4</t>
  </si>
  <si>
    <t xml:space="preserve">2024Q1</t>
  </si>
  <si>
    <t xml:space="preserve">2024Q2</t>
  </si>
  <si>
    <t xml:space="preserve">2024Q3</t>
  </si>
  <si>
    <t xml:space="preserve">2024Q4</t>
  </si>
  <si>
    <t xml:space="preserve">2025Q1</t>
  </si>
  <si>
    <t xml:space="preserve">2025Q2</t>
  </si>
  <si>
    <t xml:space="preserve">2025Q3</t>
  </si>
  <si>
    <t xml:space="preserve">2025Q4</t>
  </si>
  <si>
    <t xml:space="preserve">4d. Net and gross revenue retention (2023 to 2025 only: no December 2021 in the data)</t>
  </si>
  <si>
    <t xml:space="preserve">Units: £'000 for MRR; % for NRR and GRR</t>
  </si>
  <si>
    <t xml:space="preserve">Source: outputs/tables/4d_nrr_grr.csv, benchmarks.csv, 4d_benchmark_comparison.csv (notebooks/04d_nrr_grr.ipynb)</t>
  </si>
  <si>
    <t xml:space="preserve">NRR and GRR (December to December MRR)</t>
  </si>
  <si>
    <t xml:space="preserve">Opening MRR</t>
  </si>
  <si>
    <t xml:space="preserve">Closing MRR (same customers)</t>
  </si>
  <si>
    <t xml:space="preserve">Closing MRR capped at opening</t>
  </si>
  <si>
    <t xml:space="preserve">NRR</t>
  </si>
  <si>
    <t xml:space="preserve">GRR</t>
  </si>
  <si>
    <t xml:space="preserve">Customers at opening</t>
  </si>
  <si>
    <t xml:space="preserve">Customers retained</t>
  </si>
  <si>
    <t xml:space="preserve">reported</t>
  </si>
  <si>
    <t xml:space="preserve">excluding top 5 customers</t>
  </si>
  <si>
    <t xml:space="preserve">excluding price increase</t>
  </si>
  <si>
    <t xml:space="preserve">excluding top 5 and price increase</t>
  </si>
  <si>
    <t xml:space="preserve">Check: reported opening MRR × 12 equals prior-year ARR on the 4a tab</t>
  </si>
  <si>
    <t xml:space="preserve">For the chart</t>
  </si>
  <si>
    <t xml:space="preserve">NRR reported</t>
  </si>
  <si>
    <t xml:space="preserve">NRR excluding price increase</t>
  </si>
  <si>
    <t xml:space="preserve">GRR reported</t>
  </si>
  <si>
    <t xml:space="preserve">DRAFT commentary for review (drafted from outputs/key_findings.md):
F03 (High): Retention is weakening. NRR was 95.8%, 98.7% and 95.4% for 2023 to 2025; excluding the price increase it was 95.8%, 94.0% and 89.2%. GRR fell from 94.5% to 88.8%. Logo churn rose from 90 customers (8.9%) in 2023 to 171 (12.7%) in 2025. NRR and GRR are available for 2023 to 2025 only. Against sourced benchmarks, 2025 NRR and GRR are below the SaaS Capital medians for SMB software, whose definitions match ours (98% to 103% NRR, 90% to 91% GRR), and NRR before the price increase is below every SMB median in the three 2025 benchmark surveys (94% to 107%; GRR medians 83% to 92%); see docs/benchmarks.md.</t>
  </si>
  <si>
    <t xml:space="preserve">What good looks like: sourced SMB benchmarks (medians for ACV bands under US$50k; see docs/benchmarks.md)</t>
  </si>
  <si>
    <t xml:space="preserve">Source</t>
  </si>
  <si>
    <t xml:space="preserve">Publisher</t>
  </si>
  <si>
    <t xml:space="preserve">Edition</t>
  </si>
  <si>
    <t xml:space="preserve">Segment</t>
  </si>
  <si>
    <t xml:space="preserve">Metric</t>
  </si>
  <si>
    <t xml:space="preserve">Median</t>
  </si>
  <si>
    <t xml:space="preserve">SC25</t>
  </si>
  <si>
    <t xml:space="preserve">SaaS Capital</t>
  </si>
  <si>
    <t xml:space="preserve">SMB: ACV under $12k</t>
  </si>
  <si>
    <t xml:space="preserve">SMB: ACV $12k to $25k</t>
  </si>
  <si>
    <t xml:space="preserve">SMB: ACV $25k to $50k</t>
  </si>
  <si>
    <t xml:space="preserve">HA25</t>
  </si>
  <si>
    <t xml:space="preserve">High Alpha</t>
  </si>
  <si>
    <t xml:space="preserve">SMB: ACV under $1k</t>
  </si>
  <si>
    <t xml:space="preserve">SMB: ACV $1k to $5k</t>
  </si>
  <si>
    <t xml:space="preserve">SMB: ACV $5k to $10k</t>
  </si>
  <si>
    <t xml:space="preserve">SMB: ACV $10k to $15k</t>
  </si>
  <si>
    <t xml:space="preserve">SMB: ACV $15k to $25k</t>
  </si>
  <si>
    <t xml:space="preserve">BM25</t>
  </si>
  <si>
    <t xml:space="preserve">Benchmarkit</t>
  </si>
  <si>
    <t xml:space="preserve">SMB: ACV $10k to $25k</t>
  </si>
  <si>
    <t xml:space="preserve">Measure</t>
  </si>
  <si>
    <t xml:space="preserve">SMB median, low</t>
  </si>
  <si>
    <t xml:space="preserve">SMB median, high</t>
  </si>
  <si>
    <t xml:space="preserve">SaaS Capital SMB median, low</t>
  </si>
  <si>
    <t xml:space="preserve">SaaS Capital SMB median, high</t>
  </si>
  <si>
    <t xml:space="preserve">Northbridge 2025</t>
  </si>
  <si>
    <t xml:space="preserve">Per 4d notebook: low</t>
  </si>
  <si>
    <t xml:space="preserve">Per 4d notebook: high</t>
  </si>
  <si>
    <t xml:space="preserve">NRR before price increase</t>
  </si>
  <si>
    <t xml:space="preserve">Sources: SaaS Capital, 2025 B2B SaaS Retention Benchmarks (Research Brief 32) (2025), https://www.saas-capital.com/wp-content/uploads/2025/09/RB32WS1-2025-B2B-SaaS-Retention-Benchmarks.pdf, accessed 2026-09-26; High Alpha, 2025 SaaS Benchmarks Report (2025), https://2994607.fs1.hubspotusercontent-na1.net/hubfs/2994607/2025%20SaaS%20Benchmarks%20Report.pdf, accessed 2026-09-26; Benchmarkit, 2025 B2B SaaS Performance Metrics Benchmarks (2025), https://www.benchmarkit.ai/_files/ugd/2a084b_1b2e8054260b44cba36242807d1c3eea.pdf, accessed 2026-09-26. Only SaaS Capital uses our definitions (December-to-December MRR, price increases in NRR, GRR capped at opening MRR); the others do not state how price increases are treated. Bands are in US dollars; Northbridge's average ACV is in pounds. Medians place Northbridge in a distribution of private SaaS companies, largely US-based where stated; they are not a pass mark.</t>
  </si>
  <si>
    <t xml:space="preserve">4e. ARR bridge and revenue bridge</t>
  </si>
  <si>
    <t xml:space="preserve">Units: £'000</t>
  </si>
  <si>
    <t xml:space="preserve">Source: outputs/tables/4e_arr_bridge.csv, 4e_revenue_bridge.csv (notebooks/04e_arr_bridge.ipynb)</t>
  </si>
  <si>
    <t xml:space="preserve">ARR bridge (December MRR × 12, customer × product line)</t>
  </si>
  <si>
    <t xml:space="preserve">Opening ARR</t>
  </si>
  <si>
    <t xml:space="preserve">New customers</t>
  </si>
  <si>
    <t xml:space="preserve">Cross-sell</t>
  </si>
  <si>
    <t xml:space="preserve">Upsell</t>
  </si>
  <si>
    <t xml:space="preserve">Price increase</t>
  </si>
  <si>
    <t xml:space="preserve">Downgrade</t>
  </si>
  <si>
    <t xml:space="preserve">Contraction</t>
  </si>
  <si>
    <t xml:space="preserve">Churn</t>
  </si>
  <si>
    <t xml:space="preserve">Closing ARR</t>
  </si>
  <si>
    <t xml:space="preserve">Closing ARR per cube</t>
  </si>
  <si>
    <t xml:space="preserve">Waterfall helper, 2025 (formulas)</t>
  </si>
  <si>
    <t xml:space="preserve">Component</t>
  </si>
  <si>
    <t xml:space="preserve">Base</t>
  </si>
  <si>
    <t xml:space="preserve">Increase</t>
  </si>
  <si>
    <t xml:space="preserve">Decrease</t>
  </si>
  <si>
    <t xml:space="preserve">DRAFT commentary for review (drafted from outputs/key_findings.md):
F02 (High): Price increases carry a large part of recurring growth. Every recurring line was billed 5% more from January 2024 and a further 7% from January 2025. ARR grew 10.3% in 2025, 3.1% before the price increase (14.4% and 8.9% in 2024). The price increase added £2.31m of ARR in 2025; upsell was £0.
F10 (Medium): 2025 revenue rose £8.50m: other implementation £4.08m, new customers £3.07m, full-year effect of 2024 additions £2.18m, price £2.46m and cross-sell £0.28m, less churn £2.64m and downgrades £0.90m.</t>
  </si>
  <si>
    <t xml:space="preserve">Revenue bridge: year-on-year change in net revenue</t>
  </si>
  <si>
    <t xml:space="preserve">Prior-year net revenue</t>
  </si>
  <si>
    <t xml:space="preserve">Full-year effect of prior-year additions</t>
  </si>
  <si>
    <t xml:space="preserve">Billing gaps</t>
  </si>
  <si>
    <t xml:space="preserve">Change in credit notes</t>
  </si>
  <si>
    <t xml:space="preserve">Change in signup implementation</t>
  </si>
  <si>
    <t xml:space="preserve">Change in other implementation</t>
  </si>
  <si>
    <t xml:space="preserve">Net revenue per 4a</t>
  </si>
  <si>
    <t xml:space="preserve">Of which recurring change</t>
  </si>
  <si>
    <t xml:space="preserve">Of which one-off change</t>
  </si>
  <si>
    <t xml:space="preserve">4f. Gross margin: by product line, mix and rate, size band and discounting</t>
  </si>
  <si>
    <t xml:space="preserve">Source: outputs/tables/4f_*.csv (notebooks/04f_margins.ipynb); costs from costs.csv</t>
  </si>
  <si>
    <t xml:space="preserve">Revenue</t>
  </si>
  <si>
    <t xml:space="preserve">Cost of delivery</t>
  </si>
  <si>
    <t xml:space="preserve">Gross profit</t>
  </si>
  <si>
    <t xml:space="preserve">DRAFT commentary for review (drafted from outputs/key_findings.md):
F06 (Medium): Gross margin fell from 77.8% to 73.8% in 2025, entirely through mix: the mix effect was -4.03 points and the rate effect +0.00. Implementation Services earns 27.1%, and its cost of delivery rose from £0.80m to £3.85m, so the 2025 implementation revenue came with its delivery cost.
F07 (Medium): Discounts gave up £5.35m of list-price revenue in 2025 (11.6% of list). Large customers average 22.2% off list and account for 74.7% of the revenue given up.</t>
  </si>
  <si>
    <t xml:space="preserve">Gross margin</t>
  </si>
  <si>
    <t xml:space="preserve">Revenue share</t>
  </si>
  <si>
    <t xml:space="preserve">Blended margin and its movement</t>
  </si>
  <si>
    <t xml:space="preserve">Blended gross profit</t>
  </si>
  <si>
    <t xml:space="preserve">Blended gross margin</t>
  </si>
  <si>
    <t xml:space="preserve">Change in blended margin (pts)</t>
  </si>
  <si>
    <t xml:space="preserve">Mix effect (pts)</t>
  </si>
  <si>
    <t xml:space="preserve">Rate effect (pts)</t>
  </si>
  <si>
    <t xml:space="preserve">Check: mix + rate = change</t>
  </si>
  <si>
    <t xml:space="preserve">Reconciliation to management gross profit</t>
  </si>
  <si>
    <t xml:space="preserve">Mgmt cost of sales</t>
  </si>
  <si>
    <t xml:space="preserve">Mgmt gross profit</t>
  </si>
  <si>
    <t xml:space="preserve">Invoice-based gross profit</t>
  </si>
  <si>
    <t xml:space="preserve">Unexplained adjustments to reported revenue (Reconciliation tab)</t>
  </si>
  <si>
    <t xml:space="preserve">Discounting: recurring billings against list-equivalent</t>
  </si>
  <si>
    <t xml:space="preserve">Recurring billings</t>
  </si>
  <si>
    <t xml:space="preserve">List-equivalent</t>
  </si>
  <si>
    <t xml:space="preserve">Revenue given up</t>
  </si>
  <si>
    <t xml:space="preserve">Discount % of list</t>
  </si>
  <si>
    <t xml:space="preserve">Gross margin actual</t>
  </si>
  <si>
    <t xml:space="preserve">Gross margin at list</t>
  </si>
  <si>
    <t xml:space="preserve">Discount by size band, 2025</t>
  </si>
  <si>
    <t xml:space="preserve">Size band</t>
  </si>
  <si>
    <t xml:space="preserve">Share of revenue given up</t>
  </si>
  <si>
    <t xml:space="preserve">Micro (1-9)</t>
  </si>
  <si>
    <t xml:space="preserve">Small (10-49)</t>
  </si>
  <si>
    <t xml:space="preserve">Medium (50-249)</t>
  </si>
  <si>
    <t xml:space="preserve">Large (250+)</t>
  </si>
  <si>
    <t xml:space="preserve">Margin by size band, 2025 (basis A: cost pro rata to revenue; basis B: cost per active customer line)</t>
  </si>
  <si>
    <t xml:space="preserve">Cost basis A</t>
  </si>
  <si>
    <t xml:space="preserve">Cost basis B</t>
  </si>
  <si>
    <t xml:space="preserve">Margin basis A</t>
  </si>
  <si>
    <t xml:space="preserve">Margin basis B</t>
  </si>
  <si>
    <t xml:space="preserve">Customers</t>
  </si>
  <si>
    <t xml:space="preserve">4g. Segment cuts: revenue, growth, logo churn and NRR (2025)</t>
  </si>
  <si>
    <t xml:space="preserve">Source: outputs/tables/4g_segments.csv (notebooks/04g_segments.ipynb). Logo churn and NRR are annual (December 2024 to December 2025), not tenure-matched</t>
  </si>
  <si>
    <t xml:space="preserve">Segments (flag: risk if logo churn is 5 points above the company rate or NRR 5 points below; small if fewer than 30 customers)</t>
  </si>
  <si>
    <t xml:space="preserve">Dimension</t>
  </si>
  <si>
    <t xml:space="preserve">Customers Dec 2024</t>
  </si>
  <si>
    <t xml:space="preserve">Churned in 2025</t>
  </si>
  <si>
    <t xml:space="preserve">Closing MRR</t>
  </si>
  <si>
    <t xml:space="preserve">Closing MRR capped</t>
  </si>
  <si>
    <t xml:space="preserve">Net revenue 2024</t>
  </si>
  <si>
    <t xml:space="preserve">Net revenue 2025</t>
  </si>
  <si>
    <t xml:space="preserve">Growth</t>
  </si>
  <si>
    <t xml:space="preserve">Logo churn</t>
  </si>
  <si>
    <t xml:space="preserve">Flag</t>
  </si>
  <si>
    <t xml:space="preserve">Construction</t>
  </si>
  <si>
    <t xml:space="preserve">industry</t>
  </si>
  <si>
    <t xml:space="preserve">Education</t>
  </si>
  <si>
    <t xml:space="preserve">Financial Services</t>
  </si>
  <si>
    <t xml:space="preserve">Healthcare</t>
  </si>
  <si>
    <t xml:space="preserve">Hospitality</t>
  </si>
  <si>
    <t xml:space="preserve">Logistics</t>
  </si>
  <si>
    <t xml:space="preserve">Manufacturing</t>
  </si>
  <si>
    <t xml:space="preserve">Professional Services</t>
  </si>
  <si>
    <t xml:space="preserve">Retail</t>
  </si>
  <si>
    <t xml:space="preserve">Technology</t>
  </si>
  <si>
    <t xml:space="preserve">Unknown</t>
  </si>
  <si>
    <t xml:space="preserve">EU</t>
  </si>
  <si>
    <t xml:space="preserve">region_group</t>
  </si>
  <si>
    <t xml:space="preserve">UK</t>
  </si>
  <si>
    <t xml:space="preserve">Direct Sales</t>
  </si>
  <si>
    <t xml:space="preserve">acquisition_channel</t>
  </si>
  <si>
    <t xml:space="preserve">Inbound/Website</t>
  </si>
  <si>
    <t xml:space="preserve">Paid Search</t>
  </si>
  <si>
    <t xml:space="preserve">Partner/Reseller</t>
  </si>
  <si>
    <t xml:space="preserve">Referral</t>
  </si>
  <si>
    <t xml:space="preserve">DRAFT commentary for review (drafted from outputs/key_findings.md):
F09 (Medium): Paid Search and Partner/Reseller customers churn fastest (19.5% and 19.7% in 2025, against 8.6% for Direct Sales). Healthcare NRR was 79.4% in 2025, driven by one large customer.</t>
  </si>
  <si>
    <t xml:space="preserve">company_size</t>
  </si>
  <si>
    <t xml:space="preserve">Company (sum of the industry rows)</t>
  </si>
  <si>
    <t xml:space="preserve">Check: region_group rows add up to the company total</t>
  </si>
  <si>
    <t xml:space="preserve">Check: acquisition_channel rows add up to the company total</t>
  </si>
  <si>
    <t xml:space="preserve">Check: company_size rows add up to the company total</t>
  </si>
  <si>
    <t xml:space="preserve">Check: company 2025 revenue equals the 4a tab</t>
  </si>
  <si>
    <t xml:space="preserve">Questions for management</t>
  </si>
  <si>
    <t xml:space="preserve">One row per question</t>
  </si>
  <si>
    <t xml:space="preserve">Source: docs/qa_log.md (qa_log table)</t>
  </si>
  <si>
    <t xml:space="preserve">ID</t>
  </si>
  <si>
    <t xml:space="preserve">Step</t>
  </si>
  <si>
    <t xml:space="preserve">Ref</t>
  </si>
  <si>
    <t xml:space="preserve">Topic</t>
  </si>
  <si>
    <t xml:space="preserve">Question</t>
  </si>
  <si>
    <t xml:space="preserve">Evidence</t>
  </si>
  <si>
    <t xml:space="preserve">Q01</t>
  </si>
  <si>
    <t xml:space="preserve">Step 2</t>
  </si>
  <si>
    <t xml:space="preserve">Customer identity</t>
  </si>
  <si>
    <t xml:space="preserve">For each pair of customer_ids whose names differ only in "Ltd" against "Limited", are the two ids the same legal entity? If so, which id should revenue and contract history sit under?</t>
  </si>
  <si>
    <t xml:space="preserve">229 pairs (458 customer_ids) share a normalised name. Within a pair, region, size, industry and account manager agree no more often than for random pairs, and most pairs run contracts at the same time. List in docs/data_profile.md section 12.</t>
  </si>
  <si>
    <t xml:space="preserve">open</t>
  </si>
  <si>
    <t xml:space="preserve">Q02</t>
  </si>
  <si>
    <t xml:space="preserve">Other implementation revenue</t>
  </si>
  <si>
    <t xml:space="preserve">What work do the 2025 implementation invoices billed outside the customer's signup month relate to? Please provide the statement of work or contract for each.</t>
  </si>
  <si>
    <t xml:space="preserve">45 invoices, £4,076,574 in total, ranging £32,292 to £147,347, all dated 2025, all for existing customers. Implementation invoices billed at signup have a median of £3,180.</t>
  </si>
  <si>
    <t xml:space="preserve">Q03</t>
  </si>
  <si>
    <t xml:space="preserve">What is the delivery and customer-acceptance status of each of these projects at December 2025?</t>
  </si>
  <si>
    <t xml:space="preserve">3 of the 45 invoices (£277,704) are overdue.</t>
  </si>
  <si>
    <t xml:space="preserve">Q04</t>
  </si>
  <si>
    <t xml:space="preserve">On what basis is this revenue recognised: on invoice, on milestone, or on completion and acceptance? Is any of it deferred in the management accounts?</t>
  </si>
  <si>
    <t xml:space="preserve">£4,076,574 billed in 2025 on 45 invoices.</t>
  </si>
  <si>
    <t xml:space="preserve">Q05</t>
  </si>
  <si>
    <t xml:space="preserve">Are further projects of this kind contracted or expected in 2026? Please provide the pipeline with values and expected dates.</t>
  </si>
  <si>
    <t xml:space="preserve">None were billed in 2022 to 2024; all fall in 2025.</t>
  </si>
  <si>
    <t xml:space="preserve">Q06</t>
  </si>
  <si>
    <t xml:space="preserve">Duplicate invoices</t>
  </si>
  <si>
    <t xml:space="preserve">Were the duplicate invoice copies issued to customers, and are they included in the receivables ledger and the overdue balance?</t>
  </si>
  <si>
    <t xml:space="preserve">40 exact duplicates removed, £96,957.26. Original and copy are both marked overdue in every case.</t>
  </si>
  <si>
    <t xml:space="preserve">Q07</t>
  </si>
  <si>
    <t xml:space="preserve">Management accounts</t>
  </si>
  <si>
    <t xml:space="preserve">In the months listed, the four product-line revenue figures do not add up to total revenue. Which figure is correct, and what caused the difference?</t>
  </si>
  <si>
    <t xml:space="preserve">4 months: Jun 2023 +£18,500, Mar 2024 -£12,000, Nov 2024 +£9,500, Feb 2025 -£15,000.</t>
  </si>
  <si>
    <t xml:space="preserve">Q08</t>
  </si>
  <si>
    <t xml:space="preserve">Negative invoices</t>
  </si>
  <si>
    <t xml:space="preserve">What are the negative amounts on invoices marked paid? Are they credit notes recorded without the credit-note status, or sign errors?</t>
  </si>
  <si>
    <t xml:space="preserve">15 invoices, -£13,843.82 in total. Each is the only billing for its customer, product and month; the months either side carry the same amount as a positive.</t>
  </si>
  <si>
    <t xml:space="preserve">Q09</t>
  </si>
  <si>
    <t xml:space="preserve">Contract dates</t>
  </si>
  <si>
    <t xml:space="preserve">What event does customers.signup_date record (contract signature, go-live or account creation)? Why are some first invoices dated before it?</t>
  </si>
  <si>
    <t xml:space="preserve">1,423 invoices for 806 customers are dated 1 to 26 days before signup_date, always in the same calendar month.</t>
  </si>
  <si>
    <t xml:space="preserve">Q10</t>
  </si>
  <si>
    <t xml:space="preserve">Customer attributes</t>
  </si>
  <si>
    <t xml:space="preserve">Can management supply the industry for customers where it is blank?</t>
  </si>
  <si>
    <t xml:space="preserve">132 customers have no industry; they are reported as Unknown.</t>
  </si>
  <si>
    <t xml:space="preserve">Q11</t>
  </si>
  <si>
    <t xml:space="preserve">Step 3</t>
  </si>
  <si>
    <t xml:space="preserve">Why were the negative amounts on invoices marked paid left out of reported revenue instead of being corrected? If they are sign errors, will the invoices and the management accounts be restated?</t>
  </si>
  <si>
    <t xml:space="preserve">15 invoices. Reported revenue excludes them: the cube ties to the product lines in all 48 months only when they are excluded. The months either side of each carry the same amount as a positive, so reported revenue is probably understated by £13,843.82 (2022 £5,788.75, 2023 £2,118.96, 2024 £4,073.48, 2025 £1,862.63).</t>
  </si>
  <si>
    <t xml:space="preserve">Q12</t>
  </si>
  <si>
    <t xml:space="preserve">Please provide the journal listing behind the four manual differences between product-line revenue and reported total revenue, showing who posted each entry, when, and why.</t>
  </si>
  <si>
    <t xml:space="preserve">Reported total less the sum of product lines: Jun 2023 -£18,500, Mar 2024 +£12,000, Nov 2024 -£9,500, Feb 2025 +£15,000. The invoice data ties to the product lines in each of these months.</t>
  </si>
  <si>
    <t xml:space="preserve">Q13</t>
  </si>
  <si>
    <t xml:space="preserve">What is the policy on manual adjustments to reported revenue, who can approve them, and are they reviewed at month end?</t>
  </si>
  <si>
    <t xml:space="preserve">Four months carry round-number differences between reported total revenue and the sum of the product lines.</t>
  </si>
  <si>
    <t xml:space="preserve">Q14</t>
  </si>
  <si>
    <t xml:space="preserve">Which 2025 revenue figure appears in the information memorandum: the reported total or the sum of the product lines?</t>
  </si>
  <si>
    <t xml:space="preserve">2025 reported total revenue is £45,771,419.35; the sum of the product lines is £45,756,419.35. The February 2025 adjustment adds £15,000 to the reported total.</t>
  </si>
  <si>
    <t xml:space="preserve">Q15</t>
  </si>
  <si>
    <t xml:space="preserve">Step 4</t>
  </si>
  <si>
    <t xml:space="preserve">4a</t>
  </si>
  <si>
    <t xml:space="preserve">Please confirm the price increases applied from January 2024 and January 2025, the contractual basis for them, how customers were notified, and whether a further increase is planned for 2026.</t>
  </si>
  <si>
    <t xml:space="preserve">Every recurring line bills 5% above its contracted price in 2024 and a further 7% in 2025. The subscription table does not record the increases.</t>
  </si>
  <si>
    <t xml:space="preserve">Q16</t>
  </si>
  <si>
    <t xml:space="preserve">4b</t>
  </si>
  <si>
    <t xml:space="preserve">Large customers</t>
  </si>
  <si>
    <t xml:space="preserve">Why did C1052 end Analytics Add-on (ended 2025-09-01) and Payments Module (ended 2025-09-01)? What is the renewal date and status of its remaining contract? Why did C1545 end Payments Module (ended 2025-02-01)? What is the renewal date and status of its remaining contract?</t>
  </si>
  <si>
    <t xml:space="preserve">C1052: December ARR £2.32m in 2024, £1.34m in 2025 (down 42.4%). C1545: December ARR £2.05m in 2024, £1.81m in 2025 (down 11.9%).</t>
  </si>
  <si>
    <t xml:space="preserve">Q17</t>
  </si>
  <si>
    <t xml:space="preserve">Please provide the contracts for the six customers priced at 10 times list or more, including term, renewal dates, termination and change-of-control clauses.</t>
  </si>
  <si>
    <t xml:space="preserve">They carry 20.8% of 2025 revenue.</t>
  </si>
  <si>
    <t xml:space="preserve">Q18</t>
  </si>
  <si>
    <t xml:space="preserve">4c</t>
  </si>
  <si>
    <t xml:space="preserve">What changed in customer acquisition, onboarding or pricing from 2023 that could explain faster churn among newer customers? Please provide churn reasons by customer for 2024 and 2025.</t>
  </si>
  <si>
    <t xml:space="preserve">12-month logo retention: 78.6% for 2023+ signups against 92.5% for 2017 to 2022 signups; Micro customers 66.1%.</t>
  </si>
  <si>
    <t xml:space="preserve">Q19</t>
  </si>
  <si>
    <t xml:space="preserve">4g</t>
  </si>
  <si>
    <t xml:space="preserve">Why do customers acquired through Paid Search and Partner/Reseller churn faster, and what is the acquisition cost of each channel?</t>
  </si>
  <si>
    <t xml:space="preserve">2025 logo churn: Paid Search 19.5%, Partner/Reseller 19.7%, Direct Sales 8.6%.</t>
  </si>
  <si>
    <t xml:space="preserve">Q20</t>
  </si>
  <si>
    <t xml:space="preserve">4f</t>
  </si>
  <si>
    <t xml:space="preserve">Margin</t>
  </si>
  <si>
    <t xml:space="preserve">Is the Implementation Services cost of delivery for the 2025 projects complete, and is further cost to come on work already billed?</t>
  </si>
  <si>
    <t xml:space="preserve">Implementation cost of delivery rose from £0.80m in 2024 to £3.85m in 2025; margin 27.1%.</t>
  </si>
  <si>
    <t xml:space="preserve">Q21</t>
  </si>
  <si>
    <t xml:space="preserve">Pricing</t>
  </si>
  <si>
    <t xml:space="preserve">What is the discount policy for large customers, who approves discounts, and are any discounts due to fall away or be renegotiated at renewal?</t>
  </si>
  <si>
    <t xml:space="preserve">Large customers average 22.2% off list; £5.35m given up across all customers in 2025.</t>
  </si>
  <si>
    <t xml:space="preserve">Checks: every tie-out in the databook</t>
  </si>
  <si>
    <t xml:space="preserve">TRUE means the check passes</t>
  </si>
  <si>
    <t xml:space="preserve">Each row links to a check cell on another tab</t>
  </si>
  <si>
    <t xml:space="preserve">Overall check</t>
  </si>
  <si>
    <t xml:space="preserve">#</t>
  </si>
  <si>
    <t xml:space="preserve">Cell</t>
  </si>
  <si>
    <t xml:space="preserve">Result</t>
  </si>
  <si>
    <t xml:space="preserve">Reconciliation: cube ties to the management product lines in total</t>
  </si>
  <si>
    <t xml:space="preserve">I55</t>
  </si>
  <si>
    <t xml:space="preserve">Reconciliation 2022: difference equals the documented unexplained items and the cube total ties to the pipeline</t>
  </si>
  <si>
    <t xml:space="preserve">I59</t>
  </si>
  <si>
    <t xml:space="preserve">Reconciliation 2023: difference equals the documented unexplained items and the cube total ties to the pipeline</t>
  </si>
  <si>
    <t xml:space="preserve">I60</t>
  </si>
  <si>
    <t xml:space="preserve">Reconciliation 2024: difference equals the documented unexplained items and the cube total ties to the pipeline</t>
  </si>
  <si>
    <t xml:space="preserve">I61</t>
  </si>
  <si>
    <t xml:space="preserve">Reconciliation 2025: difference equals the documented unexplained items and the cube total ties to the pipeline</t>
  </si>
  <si>
    <t xml:space="preserve">I62</t>
  </si>
  <si>
    <t xml:space="preserve">Walk 2022: cube net from the walk equals the annual reconciliation</t>
  </si>
  <si>
    <t xml:space="preserve">B74</t>
  </si>
  <si>
    <t xml:space="preserve">Walk 2023: cube net from the walk equals the annual reconciliation</t>
  </si>
  <si>
    <t xml:space="preserve">C74</t>
  </si>
  <si>
    <t xml:space="preserve">Walk 2024: cube net from the walk equals the annual reconciliation</t>
  </si>
  <si>
    <t xml:space="preserve">D74</t>
  </si>
  <si>
    <t xml:space="preserve">Walk 2025: cube net from the walk equals the annual reconciliation</t>
  </si>
  <si>
    <t xml:space="preserve">E74</t>
  </si>
  <si>
    <t xml:space="preserve">Reconciliation: every product line ties in every year</t>
  </si>
  <si>
    <t xml:space="preserve">F95</t>
  </si>
  <si>
    <t xml:space="preserve">4a 2022: net revenue ties to the Reconciliation tab</t>
  </si>
  <si>
    <t xml:space="preserve">N7</t>
  </si>
  <si>
    <t xml:space="preserve">4a 2023: net revenue ties to the Reconciliation tab</t>
  </si>
  <si>
    <t xml:space="preserve">N8</t>
  </si>
  <si>
    <t xml:space="preserve">4a 2024: net revenue ties to the Reconciliation tab</t>
  </si>
  <si>
    <t xml:space="preserve">N9</t>
  </si>
  <si>
    <t xml:space="preserve">4a 2025: net revenue ties to the Reconciliation tab</t>
  </si>
  <si>
    <t xml:space="preserve">N10</t>
  </si>
  <si>
    <t xml:space="preserve">4b 2022 top 1: total ties to 4a and share is between 0 and 100%</t>
  </si>
  <si>
    <t xml:space="preserve">J7</t>
  </si>
  <si>
    <t xml:space="preserve">4b 2022 top 5: total ties to 4a and share is between 0 and 100%</t>
  </si>
  <si>
    <t xml:space="preserve">J8</t>
  </si>
  <si>
    <t xml:space="preserve">4b 2022 top 10: total ties to 4a and share is between 0 and 100%</t>
  </si>
  <si>
    <t xml:space="preserve">J9</t>
  </si>
  <si>
    <t xml:space="preserve">4b 2022 top 20: total ties to 4a and share is between 0 and 100%</t>
  </si>
  <si>
    <t xml:space="preserve">J10</t>
  </si>
  <si>
    <t xml:space="preserve">4b 2023 top 1: total ties to 4a and share is between 0 and 100%</t>
  </si>
  <si>
    <t xml:space="preserve">J11</t>
  </si>
  <si>
    <t xml:space="preserve">4b 2023 top 5: total ties to 4a and share is between 0 and 100%</t>
  </si>
  <si>
    <t xml:space="preserve">J12</t>
  </si>
  <si>
    <t xml:space="preserve">4b 2023 top 10: total ties to 4a and share is between 0 and 100%</t>
  </si>
  <si>
    <t xml:space="preserve">J13</t>
  </si>
  <si>
    <t xml:space="preserve">4b 2023 top 20: total ties to 4a and share is between 0 and 100%</t>
  </si>
  <si>
    <t xml:space="preserve">J14</t>
  </si>
  <si>
    <t xml:space="preserve">4b 2024 top 1: total ties to 4a and share is between 0 and 100%</t>
  </si>
  <si>
    <t xml:space="preserve">J15</t>
  </si>
  <si>
    <t xml:space="preserve">4b 2024 top 5: total ties to 4a and share is between 0 and 100%</t>
  </si>
  <si>
    <t xml:space="preserve">J16</t>
  </si>
  <si>
    <t xml:space="preserve">4b 2024 top 10: total ties to 4a and share is between 0 and 100%</t>
  </si>
  <si>
    <t xml:space="preserve">J17</t>
  </si>
  <si>
    <t xml:space="preserve">4b 2024 top 20: total ties to 4a and share is between 0 and 100%</t>
  </si>
  <si>
    <t xml:space="preserve">J18</t>
  </si>
  <si>
    <t xml:space="preserve">4b 2025 top 1: total ties to 4a and share is between 0 and 100%</t>
  </si>
  <si>
    <t xml:space="preserve">J19</t>
  </si>
  <si>
    <t xml:space="preserve">4b 2025 top 5: total ties to 4a and share is between 0 and 100%</t>
  </si>
  <si>
    <t xml:space="preserve">J20</t>
  </si>
  <si>
    <t xml:space="preserve">4b 2025 top 10: total ties to 4a and share is between 0 and 100%</t>
  </si>
  <si>
    <t xml:space="preserve">J21</t>
  </si>
  <si>
    <t xml:space="preserve">4b 2025 top 20: total ties to 4a and share is between 0 and 100%</t>
  </si>
  <si>
    <t xml:space="preserve">J22</t>
  </si>
  <si>
    <t xml:space="preserve">4d 2023: opening MRR ties to the 4a ARR</t>
  </si>
  <si>
    <t xml:space="preserve">B20</t>
  </si>
  <si>
    <t xml:space="preserve">4d 2024: opening MRR ties to the 4a ARR</t>
  </si>
  <si>
    <t xml:space="preserve">C20</t>
  </si>
  <si>
    <t xml:space="preserve">4d 2025: opening MRR ties to the 4a ARR</t>
  </si>
  <si>
    <t xml:space="preserve">D20</t>
  </si>
  <si>
    <t xml:space="preserve">4d NRR: SMB benchmark range recomputed from benchmarks.csv equals the 4d notebook</t>
  </si>
  <si>
    <t xml:space="preserve">4d NRR before price increase: SMB benchmark range recomputed from benchmarks.csv equals the 4d notebook</t>
  </si>
  <si>
    <t xml:space="preserve">4d GRR: SMB benchmark range recomputed from benchmarks.csv equals the 4d notebook</t>
  </si>
  <si>
    <t xml:space="preserve">4e ARR bridge 2023: opening plus components equals closing ARR from the cube</t>
  </si>
  <si>
    <t xml:space="preserve">B17</t>
  </si>
  <si>
    <t xml:space="preserve">4e ARR bridge 2024: opening plus components equals closing ARR from the cube</t>
  </si>
  <si>
    <t xml:space="preserve">C17</t>
  </si>
  <si>
    <t xml:space="preserve">4e ARR bridge 2025: opening plus components equals closing ARR from the cube</t>
  </si>
  <si>
    <t xml:space="preserve">D17</t>
  </si>
  <si>
    <t xml:space="preserve">4e revenue bridge 2023: components add up to net revenue</t>
  </si>
  <si>
    <t xml:space="preserve">B49</t>
  </si>
  <si>
    <t xml:space="preserve">4e revenue bridge 2024: components add up to net revenue</t>
  </si>
  <si>
    <t xml:space="preserve">C49</t>
  </si>
  <si>
    <t xml:space="preserve">4e revenue bridge 2025: components add up to net revenue</t>
  </si>
  <si>
    <t xml:space="preserve">D49</t>
  </si>
  <si>
    <t xml:space="preserve">4f 2023: mix plus rate equals the change in blended margin</t>
  </si>
  <si>
    <t xml:space="preserve">C47</t>
  </si>
  <si>
    <t xml:space="preserve">4f 2024: mix plus rate equals the change in blended margin</t>
  </si>
  <si>
    <t xml:space="preserve">D47</t>
  </si>
  <si>
    <t xml:space="preserve">4f 2025: mix plus rate equals the change in blended margin</t>
  </si>
  <si>
    <t xml:space="preserve">E47</t>
  </si>
  <si>
    <t xml:space="preserve">4f 2022: gross profit ties to management apart from the unexplained revenue adjustments; costs tie</t>
  </si>
  <si>
    <t xml:space="preserve">B56</t>
  </si>
  <si>
    <t xml:space="preserve">4f 2023: gross profit ties to management apart from the unexplained revenue adjustments; costs tie</t>
  </si>
  <si>
    <t xml:space="preserve">C56</t>
  </si>
  <si>
    <t xml:space="preserve">4f 2024: gross profit ties to management apart from the unexplained revenue adjustments; costs tie</t>
  </si>
  <si>
    <t xml:space="preserve">D56</t>
  </si>
  <si>
    <t xml:space="preserve">4f 2025: gross profit ties to management apart from the unexplained revenue adjustments; costs tie</t>
  </si>
  <si>
    <t xml:space="preserve">E56</t>
  </si>
  <si>
    <t xml:space="preserve">4f 2025: discount by size band adds up to the annual total</t>
  </si>
  <si>
    <t xml:space="preserve">E72</t>
  </si>
  <si>
    <t xml:space="preserve">4f 2025: size-band revenue and allocated cost add back to the totals (within 5p of rounding)</t>
  </si>
  <si>
    <t xml:space="preserve">D80</t>
  </si>
  <si>
    <t xml:space="preserve">4g: region_group segments add up to the company totals</t>
  </si>
  <si>
    <t xml:space="preserve">C31</t>
  </si>
  <si>
    <t xml:space="preserve">4g: acquisition_channel segments add up to the company totals</t>
  </si>
  <si>
    <t xml:space="preserve">C32</t>
  </si>
  <si>
    <t xml:space="preserve">4g: company_size segments add up to the company totals</t>
  </si>
  <si>
    <t xml:space="preserve">C33</t>
  </si>
  <si>
    <t xml:space="preserve">4g: company 2025 revenue ties to 4a</t>
  </si>
  <si>
    <t xml:space="preserve">C34</t>
  </si>
  <si>
    <t xml:space="preserve">Basis: raw invoices plus cleaning adjustments equal the cube net revenue</t>
  </si>
  <si>
    <t xml:space="preserve">F27</t>
  </si>
</sst>
</file>

<file path=xl/styles.xml><?xml version="1.0" encoding="utf-8"?>
<styleSheet xmlns="http://schemas.openxmlformats.org/spreadsheetml/2006/main">
  <numFmts count="11">
    <numFmt numFmtId="164" formatCode="General"/>
    <numFmt numFmtId="165" formatCode="#,##0;\(#,##0\);\-"/>
    <numFmt numFmtId="166" formatCode="#,##0,;\(#,##0,\);\-"/>
    <numFmt numFmtId="167" formatCode="General"/>
    <numFmt numFmtId="168" formatCode="mmm\ yyyy"/>
    <numFmt numFmtId="169" formatCode="0"/>
    <numFmt numFmtId="170" formatCode="0.000%;\(0.000%\);\-"/>
    <numFmt numFmtId="171" formatCode="0.0%;\(0.0%\);\-"/>
    <numFmt numFmtId="172" formatCode="0.00;\(0.00\);\-"/>
    <numFmt numFmtId="173" formatCode="0.0000"/>
    <numFmt numFmtId="174" formatCode="0%"/>
  </numFmts>
  <fonts count="17">
    <font>
      <sz val="11"/>
      <color theme="1"/>
      <name val="Calibri"/>
      <family val="2"/>
      <charset val="1"/>
    </font>
    <font>
      <sz val="10"/>
      <name val="Arial"/>
      <family val="0"/>
    </font>
    <font>
      <sz val="10"/>
      <name val="Arial"/>
      <family val="0"/>
    </font>
    <font>
      <sz val="10"/>
      <name val="Arial"/>
      <family val="0"/>
    </font>
    <font>
      <b val="true"/>
      <sz val="10"/>
      <color rgb="FF000000"/>
      <name val="Arial"/>
      <family val="0"/>
      <charset val="1"/>
    </font>
    <font>
      <sz val="10"/>
      <color rgb="FF000000"/>
      <name val="Arial"/>
      <family val="0"/>
      <charset val="1"/>
    </font>
    <font>
      <i val="true"/>
      <sz val="10"/>
      <color rgb="FF000000"/>
      <name val="Arial"/>
      <family val="0"/>
      <charset val="1"/>
    </font>
    <font>
      <b val="true"/>
      <sz val="10"/>
      <color rgb="FFFFFFFF"/>
      <name val="Arial"/>
      <family val="0"/>
      <charset val="1"/>
    </font>
    <font>
      <u val="single"/>
      <sz val="10"/>
      <color rgb="FF0563C1"/>
      <name val="Arial"/>
      <family val="0"/>
      <charset val="1"/>
    </font>
    <font>
      <sz val="10"/>
      <color rgb="FF0563C1"/>
      <name val="Arial"/>
      <family val="0"/>
      <charset val="1"/>
    </font>
    <font>
      <sz val="10"/>
      <color rgb="FF0000FF"/>
      <name val="Arial"/>
      <family val="0"/>
      <charset val="1"/>
    </font>
    <font>
      <sz val="10"/>
      <name val="Arial"/>
      <family val="0"/>
      <charset val="1"/>
    </font>
    <font>
      <b val="true"/>
      <sz val="10"/>
      <name val="Arial"/>
      <family val="0"/>
      <charset val="1"/>
    </font>
    <font>
      <i val="true"/>
      <sz val="10"/>
      <name val="Arial"/>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1F3864"/>
        <bgColor rgb="FF333333"/>
      </patternFill>
    </fill>
    <fill>
      <patternFill patternType="solid">
        <fgColor rgb="FFD9E1F2"/>
        <bgColor rgb="FFD9D9D9"/>
      </patternFill>
    </fill>
    <fill>
      <patternFill patternType="solid">
        <fgColor rgb="FFFFF2CC"/>
        <bgColor rgb="FFFFFFFF"/>
      </patternFill>
    </fill>
  </fills>
  <borders count="2">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4" fillId="3"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true" applyProtection="false">
      <alignment horizontal="center"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4" fontId="13" fillId="4" borderId="1" xfId="0" applyFont="true" applyBorder="true" applyAlignment="true" applyProtection="false">
      <alignment horizontal="general" vertical="top" textRotation="0" wrapText="tru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72" fontId="11" fillId="0"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74" fontId="10" fillId="0"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71" fontId="12"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6A6A6"/>
      <rgbColor rgb="FF878787"/>
      <rgbColor rgb="FF9999FF"/>
      <rgbColor rgb="FFE34948"/>
      <rgbColor rgb="FFFFF2CC"/>
      <rgbColor rgb="FFD9E1F2"/>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A78D6"/>
      <rgbColor rgb="FF33CCCC"/>
      <rgbColor rgb="FF99CC00"/>
      <rgbColor rgb="FFFFCC00"/>
      <rgbColor rgb="FFEDA100"/>
      <rgbColor rgb="FFEB6834"/>
      <rgbColor rgb="FF666699"/>
      <rgbColor rgb="FF8A8983"/>
      <rgbColor rgb="FF1F3864"/>
      <rgbColor rgb="FF1BAF7A"/>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difference: cube less reported total revenue (£)</a:t>
            </a:r>
          </a:p>
        </c:rich>
      </c:tx>
      <c:overlay val="0"/>
      <c:spPr>
        <a:noFill/>
        <a:ln w="0">
          <a:noFill/>
        </a:ln>
      </c:spPr>
    </c:title>
    <c:autoTitleDeleted val="0"/>
    <c:plotArea>
      <c:barChart>
        <c:barDir val="col"/>
        <c:grouping val="clustered"/>
        <c:varyColors val="0"/>
        <c:ser>
          <c:idx val="0"/>
          <c:order val="0"/>
          <c:tx>
            <c:strRef>
              <c:f>Reconciliation!F6</c:f>
              <c:strCache>
                <c:ptCount val="1"/>
                <c:pt idx="0">
                  <c:v>Difference</c:v>
                </c:pt>
              </c:strCache>
            </c:strRef>
          </c:tx>
          <c:spPr>
            <a:solidFill>
              <a:srgbClr val="2a78d6"/>
            </a:solidFill>
            <a:ln w="0">
              <a:solidFill>
                <a:srgbClr val="2a78d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Reconciliation!$A$7:$A$54</c:f>
              <c:strCache>
                <c:ptCount val="48"/>
                <c:pt idx="0">
                  <c:v>Jan 2022</c:v>
                </c:pt>
                <c:pt idx="1">
                  <c:v>Feb 2022</c:v>
                </c:pt>
                <c:pt idx="2">
                  <c:v>Mar 2022</c:v>
                </c:pt>
                <c:pt idx="3">
                  <c:v>Apr 2022</c:v>
                </c:pt>
                <c:pt idx="4">
                  <c:v>May 2022</c:v>
                </c:pt>
                <c:pt idx="5">
                  <c:v>Jun 2022</c:v>
                </c:pt>
                <c:pt idx="6">
                  <c:v>Jul 2022</c:v>
                </c:pt>
                <c:pt idx="7">
                  <c:v>Aug 2022</c:v>
                </c:pt>
                <c:pt idx="8">
                  <c:v>Sep 2022</c:v>
                </c:pt>
                <c:pt idx="9">
                  <c:v>Oct 2022</c:v>
                </c:pt>
                <c:pt idx="10">
                  <c:v>Nov 2022</c:v>
                </c:pt>
                <c:pt idx="11">
                  <c:v>Dec 2022</c:v>
                </c:pt>
                <c:pt idx="12">
                  <c:v>Jan 2023</c:v>
                </c:pt>
                <c:pt idx="13">
                  <c:v>Feb 2023</c:v>
                </c:pt>
                <c:pt idx="14">
                  <c:v>Mar 2023</c:v>
                </c:pt>
                <c:pt idx="15">
                  <c:v>Apr 2023</c:v>
                </c:pt>
                <c:pt idx="16">
                  <c:v>May 2023</c:v>
                </c:pt>
                <c:pt idx="17">
                  <c:v>Jun 2023</c:v>
                </c:pt>
                <c:pt idx="18">
                  <c:v>Jul 2023</c:v>
                </c:pt>
                <c:pt idx="19">
                  <c:v>Aug 2023</c:v>
                </c:pt>
                <c:pt idx="20">
                  <c:v>Sep 2023</c:v>
                </c:pt>
                <c:pt idx="21">
                  <c:v>Oct 2023</c:v>
                </c:pt>
                <c:pt idx="22">
                  <c:v>Nov 2023</c:v>
                </c:pt>
                <c:pt idx="23">
                  <c:v>Dec 2023</c:v>
                </c:pt>
                <c:pt idx="24">
                  <c:v>Jan 2024</c:v>
                </c:pt>
                <c:pt idx="25">
                  <c:v>Feb 2024</c:v>
                </c:pt>
                <c:pt idx="26">
                  <c:v>Mar 2024</c:v>
                </c:pt>
                <c:pt idx="27">
                  <c:v>Apr 2024</c:v>
                </c:pt>
                <c:pt idx="28">
                  <c:v>May 2024</c:v>
                </c:pt>
                <c:pt idx="29">
                  <c:v>Jun 2024</c:v>
                </c:pt>
                <c:pt idx="30">
                  <c:v>Jul 2024</c:v>
                </c:pt>
                <c:pt idx="31">
                  <c:v>Aug 2024</c:v>
                </c:pt>
                <c:pt idx="32">
                  <c:v>Sep 2024</c:v>
                </c:pt>
                <c:pt idx="33">
                  <c:v>Oct 2024</c:v>
                </c:pt>
                <c:pt idx="34">
                  <c:v>Nov 2024</c:v>
                </c:pt>
                <c:pt idx="35">
                  <c:v>Dec 2024</c:v>
                </c:pt>
                <c:pt idx="36">
                  <c:v>Jan 2025</c:v>
                </c:pt>
                <c:pt idx="37">
                  <c:v>Feb 2025</c:v>
                </c:pt>
                <c:pt idx="38">
                  <c:v>Mar 2025</c:v>
                </c:pt>
                <c:pt idx="39">
                  <c:v>Apr 2025</c:v>
                </c:pt>
                <c:pt idx="40">
                  <c:v>May 2025</c:v>
                </c:pt>
                <c:pt idx="41">
                  <c:v>Jun 2025</c:v>
                </c:pt>
                <c:pt idx="42">
                  <c:v>Jul 2025</c:v>
                </c:pt>
                <c:pt idx="43">
                  <c:v>Aug 2025</c:v>
                </c:pt>
                <c:pt idx="44">
                  <c:v>Sep 2025</c:v>
                </c:pt>
                <c:pt idx="45">
                  <c:v>Oct 2025</c:v>
                </c:pt>
                <c:pt idx="46">
                  <c:v>Nov 2025</c:v>
                </c:pt>
                <c:pt idx="47">
                  <c:v>Dec 2025</c:v>
                </c:pt>
              </c:strCache>
            </c:strRef>
          </c:cat>
          <c:val>
            <c:numRef>
              <c:f>Reconciliation!$F$7:$F$54</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18500</c:v>
                </c:pt>
                <c:pt idx="18">
                  <c:v>0</c:v>
                </c:pt>
                <c:pt idx="19">
                  <c:v>0</c:v>
                </c:pt>
                <c:pt idx="20">
                  <c:v>0</c:v>
                </c:pt>
                <c:pt idx="21">
                  <c:v>0</c:v>
                </c:pt>
                <c:pt idx="22">
                  <c:v>0</c:v>
                </c:pt>
                <c:pt idx="23">
                  <c:v>0</c:v>
                </c:pt>
                <c:pt idx="24">
                  <c:v>0</c:v>
                </c:pt>
                <c:pt idx="25">
                  <c:v>0</c:v>
                </c:pt>
                <c:pt idx="26">
                  <c:v>-12000</c:v>
                </c:pt>
                <c:pt idx="27">
                  <c:v>0</c:v>
                </c:pt>
                <c:pt idx="28">
                  <c:v>0</c:v>
                </c:pt>
                <c:pt idx="29">
                  <c:v>0</c:v>
                </c:pt>
                <c:pt idx="30">
                  <c:v>0</c:v>
                </c:pt>
                <c:pt idx="31">
                  <c:v>0</c:v>
                </c:pt>
                <c:pt idx="32">
                  <c:v>0</c:v>
                </c:pt>
                <c:pt idx="33">
                  <c:v>0</c:v>
                </c:pt>
                <c:pt idx="34">
                  <c:v>9500</c:v>
                </c:pt>
                <c:pt idx="35">
                  <c:v>0</c:v>
                </c:pt>
                <c:pt idx="36">
                  <c:v>0</c:v>
                </c:pt>
                <c:pt idx="37">
                  <c:v>-15000</c:v>
                </c:pt>
                <c:pt idx="38">
                  <c:v>0</c:v>
                </c:pt>
                <c:pt idx="39">
                  <c:v>0</c:v>
                </c:pt>
                <c:pt idx="40">
                  <c:v>0</c:v>
                </c:pt>
                <c:pt idx="41">
                  <c:v>0</c:v>
                </c:pt>
                <c:pt idx="42">
                  <c:v>0</c:v>
                </c:pt>
                <c:pt idx="43">
                  <c:v>0</c:v>
                </c:pt>
                <c:pt idx="44">
                  <c:v>0</c:v>
                </c:pt>
                <c:pt idx="45">
                  <c:v>0</c:v>
                </c:pt>
                <c:pt idx="46">
                  <c:v>0</c:v>
                </c:pt>
                <c:pt idx="47">
                  <c:v>0</c:v>
                </c:pt>
              </c:numCache>
            </c:numRef>
          </c:val>
        </c:ser>
        <c:gapWidth val="150"/>
        <c:overlap val="0"/>
        <c:axId val="100001"/>
        <c:axId val="100002"/>
      </c:barChart>
      <c:catAx>
        <c:axId val="10000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mmm\ yyyy"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100002"/>
        <c:crosses val="autoZero"/>
        <c:auto val="1"/>
        <c:lblAlgn val="ctr"/>
        <c:lblOffset val="100"/>
        <c:noMultiLvlLbl val="0"/>
      </c:catAx>
      <c:valAx>
        <c:axId val="100002"/>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000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revenue by type (£'000)</a:t>
            </a:r>
          </a:p>
        </c:rich>
      </c:tx>
      <c:overlay val="0"/>
      <c:spPr>
        <a:noFill/>
        <a:ln w="0">
          <a:noFill/>
        </a:ln>
      </c:spPr>
    </c:title>
    <c:autoTitleDeleted val="0"/>
    <c:plotArea>
      <c:barChart>
        <c:barDir val="col"/>
        <c:grouping val="stacked"/>
        <c:varyColors val="0"/>
        <c:ser>
          <c:idx val="0"/>
          <c:order val="0"/>
          <c:tx>
            <c:strRef>
              <c:f>'4a Revenue quality'!B6</c:f>
              <c:strCache>
                <c:ptCount val="1"/>
                <c:pt idx="0">
                  <c:v>Recurring</c:v>
                </c:pt>
              </c:strCache>
            </c:strRef>
          </c:tx>
          <c:spPr>
            <a:solidFill>
              <a:srgbClr val="2a78d6"/>
            </a:solidFill>
            <a:ln w="0">
              <a:solidFill>
                <a:srgbClr val="2a78d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'4a Revenue quality'!$A$7:$A$10</c:f>
              <c:strCache>
                <c:ptCount val="4"/>
                <c:pt idx="0">
                  <c:v>2022</c:v>
                </c:pt>
                <c:pt idx="1">
                  <c:v>2023</c:v>
                </c:pt>
                <c:pt idx="2">
                  <c:v>2024</c:v>
                </c:pt>
                <c:pt idx="3">
                  <c:v>2025</c:v>
                </c:pt>
              </c:strCache>
            </c:strRef>
          </c:cat>
          <c:val>
            <c:numRef>
              <c:f>'4a Revenue quality'!$B$7:$B$10</c:f>
              <c:numCache>
                <c:formatCode>#,##0,;\(#,##0,\);\-</c:formatCode>
                <c:ptCount val="4"/>
                <c:pt idx="0">
                  <c:v>27248292.05</c:v>
                </c:pt>
                <c:pt idx="1">
                  <c:v>31014666.15</c:v>
                </c:pt>
                <c:pt idx="2">
                  <c:v>36114683.69</c:v>
                </c:pt>
                <c:pt idx="3">
                  <c:v>40475097.15</c:v>
                </c:pt>
              </c:numCache>
            </c:numRef>
          </c:val>
        </c:ser>
        <c:ser>
          <c:idx val="1"/>
          <c:order val="1"/>
          <c:tx>
            <c:strRef>
              <c:f>'4a Revenue quality'!C6</c:f>
              <c:strCache>
                <c:ptCount val="1"/>
                <c:pt idx="0">
                  <c:v>Implementation at signup</c:v>
                </c:pt>
              </c:strCache>
            </c:strRef>
          </c:tx>
          <c:spPr>
            <a:solidFill>
              <a:srgbClr val="eb6834"/>
            </a:solidFill>
            <a:ln w="0">
              <a:solidFill>
                <a:srgbClr val="eb683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'4a Revenue quality'!$A$7:$A$10</c:f>
              <c:strCache>
                <c:ptCount val="4"/>
                <c:pt idx="0">
                  <c:v>2022</c:v>
                </c:pt>
                <c:pt idx="1">
                  <c:v>2023</c:v>
                </c:pt>
                <c:pt idx="2">
                  <c:v>2024</c:v>
                </c:pt>
                <c:pt idx="3">
                  <c:v>2025</c:v>
                </c:pt>
              </c:strCache>
            </c:strRef>
          </c:cat>
          <c:val>
            <c:numRef>
              <c:f>'4a Revenue quality'!$C$7:$C$10</c:f>
              <c:numCache>
                <c:formatCode>#,##0,;\(#,##0,\);\-</c:formatCode>
                <c:ptCount val="4"/>
                <c:pt idx="0">
                  <c:v>983859.59</c:v>
                </c:pt>
                <c:pt idx="1">
                  <c:v>1178203.8</c:v>
                </c:pt>
                <c:pt idx="2">
                  <c:v>1144214.82</c:v>
                </c:pt>
                <c:pt idx="3">
                  <c:v>1204747.89</c:v>
                </c:pt>
              </c:numCache>
            </c:numRef>
          </c:val>
        </c:ser>
        <c:ser>
          <c:idx val="2"/>
          <c:order val="2"/>
          <c:tx>
            <c:strRef>
              <c:f>'4a Revenue quality'!D6</c:f>
              <c:strCache>
                <c:ptCount val="1"/>
                <c:pt idx="0">
                  <c:v>Other implementation</c:v>
                </c:pt>
              </c:strCache>
            </c:strRef>
          </c:tx>
          <c:spPr>
            <a:solidFill>
              <a:srgbClr val="1baf7a"/>
            </a:solidFill>
            <a:ln w="0">
              <a:solidFill>
                <a:srgbClr val="1baf7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'4a Revenue quality'!$A$7:$A$10</c:f>
              <c:strCache>
                <c:ptCount val="4"/>
                <c:pt idx="0">
                  <c:v>2022</c:v>
                </c:pt>
                <c:pt idx="1">
                  <c:v>2023</c:v>
                </c:pt>
                <c:pt idx="2">
                  <c:v>2024</c:v>
                </c:pt>
                <c:pt idx="3">
                  <c:v>2025</c:v>
                </c:pt>
              </c:strCache>
            </c:strRef>
          </c:cat>
          <c:val>
            <c:numRef>
              <c:f>'4a Revenue quality'!$D$7:$D$10</c:f>
              <c:numCache>
                <c:formatCode>#,##0,;\(#,##0,\);\-</c:formatCode>
                <c:ptCount val="4"/>
                <c:pt idx="0">
                  <c:v>0</c:v>
                </c:pt>
                <c:pt idx="1">
                  <c:v>0</c:v>
                </c:pt>
                <c:pt idx="2">
                  <c:v>0</c:v>
                </c:pt>
                <c:pt idx="3">
                  <c:v>4076574.31</c:v>
                </c:pt>
              </c:numCache>
            </c:numRef>
          </c:val>
        </c:ser>
        <c:gapWidth val="150"/>
        <c:overlap val="100"/>
        <c:axId val="100001"/>
        <c:axId val="100002"/>
      </c:barChart>
      <c:catAx>
        <c:axId val="10000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0002"/>
        <c:crosses val="autoZero"/>
        <c:auto val="1"/>
        <c:lblAlgn val="ctr"/>
        <c:lblOffset val="100"/>
        <c:noMultiLvlLbl val="0"/>
      </c:catAx>
      <c:valAx>
        <c:axId val="100002"/>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£'000</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000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Share of net revenue held by the largest customers</a:t>
            </a:r>
          </a:p>
        </c:rich>
      </c:tx>
      <c:overlay val="0"/>
      <c:spPr>
        <a:noFill/>
        <a:ln w="0">
          <a:noFill/>
        </a:ln>
      </c:spPr>
    </c:title>
    <c:autoTitleDeleted val="0"/>
    <c:plotArea>
      <c:lineChart>
        <c:grouping val="standard"/>
        <c:varyColors val="0"/>
        <c:ser>
          <c:idx val="0"/>
          <c:order val="0"/>
          <c:tx>
            <c:strRef>
              <c:f>'4b Concentration'!B25</c:f>
              <c:strCache>
                <c:ptCount val="1"/>
                <c:pt idx="0">
                  <c:v>Top 1</c:v>
                </c:pt>
              </c:strCache>
            </c:strRef>
          </c:tx>
          <c:spPr>
            <a:solidFill>
              <a:srgbClr val="2a78d6"/>
            </a:solidFill>
            <a:ln w="2844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'4b Concentration'!$A$26:$A$29</c:f>
              <c:strCache>
                <c:ptCount val="4"/>
                <c:pt idx="0">
                  <c:v>2022</c:v>
                </c:pt>
                <c:pt idx="1">
                  <c:v>2023</c:v>
                </c:pt>
                <c:pt idx="2">
                  <c:v>2024</c:v>
                </c:pt>
                <c:pt idx="3">
                  <c:v>2025</c:v>
                </c:pt>
              </c:strCache>
            </c:strRef>
          </c:cat>
          <c:val>
            <c:numRef>
              <c:f>'4b Concentration'!$B$26:$B$29</c:f>
              <c:numCache>
                <c:formatCode>0.0%;\(0.0%\);\-</c:formatCode>
                <c:ptCount val="4"/>
                <c:pt idx="0">
                  <c:v>0.0767741668307361</c:v>
                </c:pt>
                <c:pt idx="1">
                  <c:v>0.0686487387869561</c:v>
                </c:pt>
                <c:pt idx="2">
                  <c:v>0.0622804208604609</c:v>
                </c:pt>
                <c:pt idx="3">
                  <c:v>0.0459158498380184</c:v>
                </c:pt>
              </c:numCache>
            </c:numRef>
          </c:val>
          <c:smooth val="1"/>
        </c:ser>
        <c:ser>
          <c:idx val="1"/>
          <c:order val="1"/>
          <c:tx>
            <c:strRef>
              <c:f>'4b Concentration'!C25</c:f>
              <c:strCache>
                <c:ptCount val="1"/>
                <c:pt idx="0">
                  <c:v>Top 5</c:v>
                </c:pt>
              </c:strCache>
            </c:strRef>
          </c:tx>
          <c:spPr>
            <a:solidFill>
              <a:srgbClr val="eb6834"/>
            </a:solidFill>
            <a:ln w="2844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'4b Concentration'!$A$26:$A$29</c:f>
              <c:strCache>
                <c:ptCount val="4"/>
                <c:pt idx="0">
                  <c:v>2022</c:v>
                </c:pt>
                <c:pt idx="1">
                  <c:v>2023</c:v>
                </c:pt>
                <c:pt idx="2">
                  <c:v>2024</c:v>
                </c:pt>
                <c:pt idx="3">
                  <c:v>2025</c:v>
                </c:pt>
              </c:strCache>
            </c:strRef>
          </c:cat>
          <c:val>
            <c:numRef>
              <c:f>'4b Concentration'!$C$26:$C$29</c:f>
              <c:numCache>
                <c:formatCode>0.0%;\(0.0%\);\-</c:formatCode>
                <c:ptCount val="4"/>
                <c:pt idx="0">
                  <c:v>0.297843046014469</c:v>
                </c:pt>
                <c:pt idx="1">
                  <c:v>0.262946424259388</c:v>
                </c:pt>
                <c:pt idx="2">
                  <c:v>0.235594723167784</c:v>
                </c:pt>
                <c:pt idx="3">
                  <c:v>0.186241572681102</c:v>
                </c:pt>
              </c:numCache>
            </c:numRef>
          </c:val>
          <c:smooth val="1"/>
        </c:ser>
        <c:ser>
          <c:idx val="2"/>
          <c:order val="2"/>
          <c:tx>
            <c:strRef>
              <c:f>'4b Concentration'!D25</c:f>
              <c:strCache>
                <c:ptCount val="1"/>
                <c:pt idx="0">
                  <c:v>Top 10</c:v>
                </c:pt>
              </c:strCache>
            </c:strRef>
          </c:tx>
          <c:spPr>
            <a:solidFill>
              <a:srgbClr val="1baf7a"/>
            </a:solidFill>
            <a:ln w="2844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'4b Concentration'!$A$26:$A$29</c:f>
              <c:strCache>
                <c:ptCount val="4"/>
                <c:pt idx="0">
                  <c:v>2022</c:v>
                </c:pt>
                <c:pt idx="1">
                  <c:v>2023</c:v>
                </c:pt>
                <c:pt idx="2">
                  <c:v>2024</c:v>
                </c:pt>
                <c:pt idx="3">
                  <c:v>2025</c:v>
                </c:pt>
              </c:strCache>
            </c:strRef>
          </c:cat>
          <c:val>
            <c:numRef>
              <c:f>'4b Concentration'!$D$26:$D$29</c:f>
              <c:numCache>
                <c:formatCode>0.0%;\(0.0%\);\-</c:formatCode>
                <c:ptCount val="4"/>
                <c:pt idx="0">
                  <c:v>0.334238308164599</c:v>
                </c:pt>
                <c:pt idx="1">
                  <c:v>0.297608771286326</c:v>
                </c:pt>
                <c:pt idx="2">
                  <c:v>0.266523479413509</c:v>
                </c:pt>
                <c:pt idx="3">
                  <c:v>0.223386468722885</c:v>
                </c:pt>
              </c:numCache>
            </c:numRef>
          </c:val>
          <c:smooth val="1"/>
        </c:ser>
        <c:ser>
          <c:idx val="3"/>
          <c:order val="3"/>
          <c:tx>
            <c:strRef>
              <c:f>'4b Concentration'!E25</c:f>
              <c:strCache>
                <c:ptCount val="1"/>
                <c:pt idx="0">
                  <c:v>Top 20</c:v>
                </c:pt>
              </c:strCache>
            </c:strRef>
          </c:tx>
          <c:spPr>
            <a:solidFill>
              <a:srgbClr val="eda100"/>
            </a:solidFill>
            <a:ln w="28440">
              <a:solidFill>
                <a:srgbClr val="eda10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'4b Concentration'!$A$26:$A$29</c:f>
              <c:strCache>
                <c:ptCount val="4"/>
                <c:pt idx="0">
                  <c:v>2022</c:v>
                </c:pt>
                <c:pt idx="1">
                  <c:v>2023</c:v>
                </c:pt>
                <c:pt idx="2">
                  <c:v>2024</c:v>
                </c:pt>
                <c:pt idx="3">
                  <c:v>2025</c:v>
                </c:pt>
              </c:strCache>
            </c:strRef>
          </c:cat>
          <c:val>
            <c:numRef>
              <c:f>'4b Concentration'!$E$26:$E$29</c:f>
              <c:numCache>
                <c:formatCode>0.0%;\(0.0%\);\-</c:formatCode>
                <c:ptCount val="4"/>
                <c:pt idx="0">
                  <c:v>0.350362907727709</c:v>
                </c:pt>
                <c:pt idx="1">
                  <c:v>0.312145978460675</c:v>
                </c:pt>
                <c:pt idx="2">
                  <c:v>0.279760867788467</c:v>
                </c:pt>
                <c:pt idx="3">
                  <c:v>0.255341487729415</c:v>
                </c:pt>
              </c:numCache>
            </c:numRef>
          </c:val>
          <c:smooth val="1"/>
        </c:ser>
        <c:hiLowLines>
          <c:spPr>
            <a:ln w="0">
              <a:noFill/>
            </a:ln>
          </c:spPr>
        </c:hiLowLines>
        <c:marker val="0"/>
        <c:axId val="100001"/>
        <c:axId val="100002"/>
      </c:lineChart>
      <c:catAx>
        <c:axId val="10000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0002"/>
        <c:crosses val="autoZero"/>
        <c:auto val="1"/>
        <c:lblAlgn val="ctr"/>
        <c:lblOffset val="100"/>
        <c:noMultiLvlLbl val="0"/>
      </c:catAx>
      <c:valAx>
        <c:axId val="100002"/>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Share of net revenue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000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Logo retention at 6, 12 and 18 months by signup year</a:t>
            </a:r>
          </a:p>
        </c:rich>
      </c:tx>
      <c:overlay val="0"/>
      <c:spPr>
        <a:noFill/>
        <a:ln w="0">
          <a:noFill/>
        </a:ln>
      </c:spPr>
    </c:title>
    <c:autoTitleDeleted val="0"/>
    <c:plotArea>
      <c:lineChart>
        <c:grouping val="standard"/>
        <c:varyColors val="0"/>
        <c:ser>
          <c:idx val="0"/>
          <c:order val="0"/>
          <c:tx>
            <c:strRef>
              <c:f>'4c Cohorts'!D6</c:f>
              <c:strCache>
                <c:ptCount val="1"/>
                <c:pt idx="0">
                  <c:v>Retention 6m</c:v>
                </c:pt>
              </c:strCache>
            </c:strRef>
          </c:tx>
          <c:spPr>
            <a:solidFill>
              <a:srgbClr val="2a78d6"/>
            </a:solidFill>
            <a:ln w="2844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'4c Cohorts'!$A$7:$A$14</c:f>
              <c:strCache>
                <c:ptCount val="8"/>
                <c:pt idx="0">
                  <c:v>2017</c:v>
                </c:pt>
                <c:pt idx="1">
                  <c:v>2018</c:v>
                </c:pt>
                <c:pt idx="2">
                  <c:v>2019</c:v>
                </c:pt>
                <c:pt idx="3">
                  <c:v>2020</c:v>
                </c:pt>
                <c:pt idx="4">
                  <c:v>2021</c:v>
                </c:pt>
                <c:pt idx="5">
                  <c:v>2022</c:v>
                </c:pt>
                <c:pt idx="6">
                  <c:v>2023</c:v>
                </c:pt>
                <c:pt idx="7">
                  <c:v>2024</c:v>
                </c:pt>
              </c:strCache>
            </c:strRef>
          </c:cat>
          <c:val>
            <c:numRef>
              <c:f>'4c Cohorts'!$D$7:$D$14</c:f>
              <c:numCache>
                <c:formatCode>0.0%;\(0.0%\);\-</c:formatCode>
                <c:ptCount val="8"/>
                <c:pt idx="0">
                  <c:v>0.976608187134503</c:v>
                </c:pt>
                <c:pt idx="1">
                  <c:v>0.984042553191489</c:v>
                </c:pt>
                <c:pt idx="2">
                  <c:v>0.970731707317073</c:v>
                </c:pt>
                <c:pt idx="3">
                  <c:v>0.958715596330275</c:v>
                </c:pt>
                <c:pt idx="4">
                  <c:v>0.970212765957447</c:v>
                </c:pt>
                <c:pt idx="5">
                  <c:v>0.962809917355372</c:v>
                </c:pt>
                <c:pt idx="6">
                  <c:v>0.941935483870968</c:v>
                </c:pt>
                <c:pt idx="7">
                  <c:v>0.900990099009901</c:v>
                </c:pt>
              </c:numCache>
            </c:numRef>
          </c:val>
          <c:smooth val="1"/>
        </c:ser>
        <c:ser>
          <c:idx val="1"/>
          <c:order val="1"/>
          <c:tx>
            <c:strRef>
              <c:f>'4c Cohorts'!G6</c:f>
              <c:strCache>
                <c:ptCount val="1"/>
                <c:pt idx="0">
                  <c:v>Retention 12m</c:v>
                </c:pt>
              </c:strCache>
            </c:strRef>
          </c:tx>
          <c:spPr>
            <a:solidFill>
              <a:srgbClr val="eb6834"/>
            </a:solidFill>
            <a:ln w="2844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'4c Cohorts'!$A$7:$A$14</c:f>
              <c:strCache>
                <c:ptCount val="8"/>
                <c:pt idx="0">
                  <c:v>2017</c:v>
                </c:pt>
                <c:pt idx="1">
                  <c:v>2018</c:v>
                </c:pt>
                <c:pt idx="2">
                  <c:v>2019</c:v>
                </c:pt>
                <c:pt idx="3">
                  <c:v>2020</c:v>
                </c:pt>
                <c:pt idx="4">
                  <c:v>2021</c:v>
                </c:pt>
                <c:pt idx="5">
                  <c:v>2022</c:v>
                </c:pt>
                <c:pt idx="6">
                  <c:v>2023</c:v>
                </c:pt>
                <c:pt idx="7">
                  <c:v>2024</c:v>
                </c:pt>
              </c:strCache>
            </c:strRef>
          </c:cat>
          <c:val>
            <c:numRef>
              <c:f>'4c Cohorts'!$G$7:$G$14</c:f>
              <c:numCache>
                <c:formatCode>0.0%;\(0.0%\);\-</c:formatCode>
                <c:ptCount val="8"/>
                <c:pt idx="0">
                  <c:v>0.935672514619883</c:v>
                </c:pt>
                <c:pt idx="1">
                  <c:v>0.957446808510638</c:v>
                </c:pt>
                <c:pt idx="2">
                  <c:v>0.921951219512195</c:v>
                </c:pt>
                <c:pt idx="3">
                  <c:v>0.926605504587156</c:v>
                </c:pt>
                <c:pt idx="4">
                  <c:v>0.902127659574468</c:v>
                </c:pt>
                <c:pt idx="5">
                  <c:v>0.917355371900827</c:v>
                </c:pt>
                <c:pt idx="6">
                  <c:v>0.825806451612903</c:v>
                </c:pt>
                <c:pt idx="7">
                  <c:v>0.745874587458746</c:v>
                </c:pt>
              </c:numCache>
            </c:numRef>
          </c:val>
          <c:smooth val="1"/>
        </c:ser>
        <c:ser>
          <c:idx val="2"/>
          <c:order val="2"/>
          <c:tx>
            <c:strRef>
              <c:f>'4c Cohorts'!J6</c:f>
              <c:strCache>
                <c:ptCount val="1"/>
                <c:pt idx="0">
                  <c:v>Retention 18m</c:v>
                </c:pt>
              </c:strCache>
            </c:strRef>
          </c:tx>
          <c:spPr>
            <a:solidFill>
              <a:srgbClr val="1baf7a"/>
            </a:solidFill>
            <a:ln w="2844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'4c Cohorts'!$A$7:$A$14</c:f>
              <c:strCache>
                <c:ptCount val="8"/>
                <c:pt idx="0">
                  <c:v>2017</c:v>
                </c:pt>
                <c:pt idx="1">
                  <c:v>2018</c:v>
                </c:pt>
                <c:pt idx="2">
                  <c:v>2019</c:v>
                </c:pt>
                <c:pt idx="3">
                  <c:v>2020</c:v>
                </c:pt>
                <c:pt idx="4">
                  <c:v>2021</c:v>
                </c:pt>
                <c:pt idx="5">
                  <c:v>2022</c:v>
                </c:pt>
                <c:pt idx="6">
                  <c:v>2023</c:v>
                </c:pt>
                <c:pt idx="7">
                  <c:v>2024</c:v>
                </c:pt>
              </c:strCache>
            </c:strRef>
          </c:cat>
          <c:val>
            <c:numRef>
              <c:f>'4c Cohorts'!$J$7:$J$14</c:f>
              <c:numCache>
                <c:formatCode>0.0%;\(0.0%\);\-</c:formatCode>
                <c:ptCount val="8"/>
                <c:pt idx="0">
                  <c:v>0.888888888888889</c:v>
                </c:pt>
                <c:pt idx="1">
                  <c:v>0.925531914893617</c:v>
                </c:pt>
                <c:pt idx="2">
                  <c:v>0.878048780487805</c:v>
                </c:pt>
                <c:pt idx="3">
                  <c:v>0.889908256880734</c:v>
                </c:pt>
                <c:pt idx="4">
                  <c:v>0.859574468085106</c:v>
                </c:pt>
                <c:pt idx="5">
                  <c:v>0.859504132231405</c:v>
                </c:pt>
                <c:pt idx="6">
                  <c:v>0.751612903225806</c:v>
                </c:pt>
              </c:numCache>
            </c:numRef>
          </c:val>
          <c:smooth val="1"/>
        </c:ser>
        <c:hiLowLines>
          <c:spPr>
            <a:ln w="0">
              <a:noFill/>
            </a:ln>
          </c:spPr>
        </c:hiLowLines>
        <c:marker val="0"/>
        <c:axId val="100001"/>
        <c:axId val="100002"/>
      </c:lineChart>
      <c:catAx>
        <c:axId val="10000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Signup 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0002"/>
        <c:crosses val="autoZero"/>
        <c:auto val="1"/>
        <c:lblAlgn val="ctr"/>
        <c:lblOffset val="100"/>
        <c:noMultiLvlLbl val="0"/>
      </c:catAx>
      <c:valAx>
        <c:axId val="100002"/>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Still subscribed</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000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NRR and GRR, 2023 to 2025</a:t>
            </a:r>
          </a:p>
        </c:rich>
      </c:tx>
      <c:overlay val="0"/>
      <c:spPr>
        <a:noFill/>
        <a:ln w="0">
          <a:noFill/>
        </a:ln>
      </c:spPr>
    </c:title>
    <c:autoTitleDeleted val="0"/>
    <c:plotArea>
      <c:barChart>
        <c:barDir val="col"/>
        <c:grouping val="clustered"/>
        <c:varyColors val="0"/>
        <c:ser>
          <c:idx val="0"/>
          <c:order val="0"/>
          <c:tx>
            <c:strRef>
              <c:f>'4d NRR GRR'!B23</c:f>
              <c:strCache>
                <c:ptCount val="1"/>
                <c:pt idx="0">
                  <c:v>NRR reported</c:v>
                </c:pt>
              </c:strCache>
            </c:strRef>
          </c:tx>
          <c:spPr>
            <a:solidFill>
              <a:srgbClr val="2a78d6"/>
            </a:solidFill>
            <a:ln w="0">
              <a:solidFill>
                <a:srgbClr val="2a78d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'4d NRR GRR'!$A$24:$A$26</c:f>
              <c:strCache>
                <c:ptCount val="3"/>
                <c:pt idx="0">
                  <c:v>2023</c:v>
                </c:pt>
                <c:pt idx="1">
                  <c:v>2024</c:v>
                </c:pt>
                <c:pt idx="2">
                  <c:v>2025</c:v>
                </c:pt>
              </c:strCache>
            </c:strRef>
          </c:cat>
          <c:val>
            <c:numRef>
              <c:f>'4d NRR GRR'!$B$24:$B$26</c:f>
              <c:numCache>
                <c:formatCode>0.0%;\(0.0%\);\-</c:formatCode>
                <c:ptCount val="3"/>
                <c:pt idx="0">
                  <c:v>0.957664108285316</c:v>
                </c:pt>
                <c:pt idx="1">
                  <c:v>0.987470488777357</c:v>
                </c:pt>
                <c:pt idx="2">
                  <c:v>0.954434773207137</c:v>
                </c:pt>
              </c:numCache>
            </c:numRef>
          </c:val>
        </c:ser>
        <c:ser>
          <c:idx val="1"/>
          <c:order val="1"/>
          <c:tx>
            <c:strRef>
              <c:f>'4d NRR GRR'!C23</c:f>
              <c:strCache>
                <c:ptCount val="1"/>
                <c:pt idx="0">
                  <c:v>NRR excluding price increase</c:v>
                </c:pt>
              </c:strCache>
            </c:strRef>
          </c:tx>
          <c:spPr>
            <a:solidFill>
              <a:srgbClr val="eb6834"/>
            </a:solidFill>
            <a:ln w="0">
              <a:solidFill>
                <a:srgbClr val="eb683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'4d NRR GRR'!$A$24:$A$26</c:f>
              <c:strCache>
                <c:ptCount val="3"/>
                <c:pt idx="0">
                  <c:v>2023</c:v>
                </c:pt>
                <c:pt idx="1">
                  <c:v>2024</c:v>
                </c:pt>
                <c:pt idx="2">
                  <c:v>2025</c:v>
                </c:pt>
              </c:strCache>
            </c:strRef>
          </c:cat>
          <c:val>
            <c:numRef>
              <c:f>'4d NRR GRR'!$C$24:$C$26</c:f>
              <c:numCache>
                <c:formatCode>0.0%;\(0.0%\);\-</c:formatCode>
                <c:ptCount val="3"/>
                <c:pt idx="0">
                  <c:v>0.957664108285316</c:v>
                </c:pt>
                <c:pt idx="1">
                  <c:v>0.940448082806712</c:v>
                </c:pt>
                <c:pt idx="2">
                  <c:v>0.891995114698221</c:v>
                </c:pt>
              </c:numCache>
            </c:numRef>
          </c:val>
        </c:ser>
        <c:ser>
          <c:idx val="2"/>
          <c:order val="2"/>
          <c:tx>
            <c:strRef>
              <c:f>'4d NRR GRR'!D23</c:f>
              <c:strCache>
                <c:ptCount val="1"/>
                <c:pt idx="0">
                  <c:v>GRR reported</c:v>
                </c:pt>
              </c:strCache>
            </c:strRef>
          </c:tx>
          <c:spPr>
            <a:solidFill>
              <a:srgbClr val="1baf7a"/>
            </a:solidFill>
            <a:ln w="0">
              <a:solidFill>
                <a:srgbClr val="1baf7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'4d NRR GRR'!$A$24:$A$26</c:f>
              <c:strCache>
                <c:ptCount val="3"/>
                <c:pt idx="0">
                  <c:v>2023</c:v>
                </c:pt>
                <c:pt idx="1">
                  <c:v>2024</c:v>
                </c:pt>
                <c:pt idx="2">
                  <c:v>2025</c:v>
                </c:pt>
              </c:strCache>
            </c:strRef>
          </c:cat>
          <c:val>
            <c:numRef>
              <c:f>'4d NRR GRR'!$D$24:$D$26</c:f>
              <c:numCache>
                <c:formatCode>0.0%;\(0.0%\);\-</c:formatCode>
                <c:ptCount val="3"/>
                <c:pt idx="0">
                  <c:v>0.94521877360615</c:v>
                </c:pt>
                <c:pt idx="1">
                  <c:v>0.929121564410849</c:v>
                </c:pt>
                <c:pt idx="2">
                  <c:v>0.887690505113145</c:v>
                </c:pt>
              </c:numCache>
            </c:numRef>
          </c:val>
        </c:ser>
        <c:gapWidth val="150"/>
        <c:overlap val="0"/>
        <c:axId val="100001"/>
        <c:axId val="100002"/>
      </c:barChart>
      <c:catAx>
        <c:axId val="10000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0002"/>
        <c:crosses val="autoZero"/>
        <c:auto val="1"/>
        <c:lblAlgn val="ctr"/>
        <c:lblOffset val="100"/>
        <c:noMultiLvlLbl val="0"/>
      </c:catAx>
      <c:valAx>
        <c:axId val="100002"/>
        <c:scaling>
          <c:orientation val="minMax"/>
          <c:max val="1.1"/>
          <c:min val="0.7"/>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of opening MRR</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000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ARR bridge 2025 (£'000; axis starts at £25m)</a:t>
            </a:r>
          </a:p>
        </c:rich>
      </c:tx>
      <c:overlay val="0"/>
      <c:spPr>
        <a:noFill/>
        <a:ln w="0">
          <a:noFill/>
        </a:ln>
      </c:spPr>
    </c:title>
    <c:autoTitleDeleted val="0"/>
    <c:plotArea>
      <c:barChart>
        <c:barDir val="col"/>
        <c:grouping val="stacked"/>
        <c:varyColors val="0"/>
        <c:ser>
          <c:idx val="0"/>
          <c:order val="0"/>
          <c:tx>
            <c:strRef>
              <c:f>'4e ARR bridge'!B20</c:f>
              <c:strCache>
                <c:ptCount val="1"/>
                <c:pt idx="0">
                  <c:v>Base</c:v>
                </c:pt>
              </c:strCache>
            </c:strRef>
          </c:tx>
          <c:spPr>
            <a:solidFill>
              <a:srgbClr val="ffffff"/>
            </a:solidFill>
            <a:ln w="0">
              <a:solidFill>
                <a:srgbClr val="fffff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'4e ARR bridge'!$A$21:$A$29</c:f>
              <c:strCache>
                <c:ptCount val="9"/>
                <c:pt idx="0">
                  <c:v>Opening ARR</c:v>
                </c:pt>
                <c:pt idx="1">
                  <c:v>New customers</c:v>
                </c:pt>
                <c:pt idx="2">
                  <c:v>Cross-sell</c:v>
                </c:pt>
                <c:pt idx="3">
                  <c:v>Upsell</c:v>
                </c:pt>
                <c:pt idx="4">
                  <c:v>Price increase</c:v>
                </c:pt>
                <c:pt idx="5">
                  <c:v>Downgrade</c:v>
                </c:pt>
                <c:pt idx="6">
                  <c:v>Contraction</c:v>
                </c:pt>
                <c:pt idx="7">
                  <c:v>Churn</c:v>
                </c:pt>
                <c:pt idx="8">
                  <c:v>Closing ARR</c:v>
                </c:pt>
              </c:strCache>
            </c:strRef>
          </c:cat>
          <c:val>
            <c:numRef>
              <c:f>'4e ARR bridge'!$B$21:$B$29</c:f>
              <c:numCache>
                <c:formatCode>#,##0,;\(#,##0,\);\-</c:formatCode>
                <c:ptCount val="9"/>
                <c:pt idx="0">
                  <c:v>0</c:v>
                </c:pt>
                <c:pt idx="1">
                  <c:v>37496836.08</c:v>
                </c:pt>
                <c:pt idx="2">
                  <c:v>43068379.68</c:v>
                </c:pt>
                <c:pt idx="3">
                  <c:v>43481442</c:v>
                </c:pt>
                <c:pt idx="4">
                  <c:v>43481442</c:v>
                </c:pt>
                <c:pt idx="5">
                  <c:v>44265837.12</c:v>
                </c:pt>
                <c:pt idx="6">
                  <c:v>44265837.12</c:v>
                </c:pt>
                <c:pt idx="7">
                  <c:v>41359827.84</c:v>
                </c:pt>
                <c:pt idx="8">
                  <c:v>0</c:v>
                </c:pt>
              </c:numCache>
            </c:numRef>
          </c:val>
        </c:ser>
        <c:ser>
          <c:idx val="1"/>
          <c:order val="1"/>
          <c:tx>
            <c:strRef>
              <c:f>'4e ARR bridge'!C20</c:f>
              <c:strCache>
                <c:ptCount val="1"/>
                <c:pt idx="0">
                  <c:v>Increase</c:v>
                </c:pt>
              </c:strCache>
            </c:strRef>
          </c:tx>
          <c:spPr>
            <a:solidFill>
              <a:srgbClr val="2a78d6"/>
            </a:solidFill>
            <a:ln w="0">
              <a:solidFill>
                <a:srgbClr val="eb6834"/>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'4e ARR bridge'!$A$21:$A$29</c:f>
              <c:strCache>
                <c:ptCount val="9"/>
                <c:pt idx="0">
                  <c:v>Opening ARR</c:v>
                </c:pt>
                <c:pt idx="1">
                  <c:v>New customers</c:v>
                </c:pt>
                <c:pt idx="2">
                  <c:v>Cross-sell</c:v>
                </c:pt>
                <c:pt idx="3">
                  <c:v>Upsell</c:v>
                </c:pt>
                <c:pt idx="4">
                  <c:v>Price increase</c:v>
                </c:pt>
                <c:pt idx="5">
                  <c:v>Downgrade</c:v>
                </c:pt>
                <c:pt idx="6">
                  <c:v>Contraction</c:v>
                </c:pt>
                <c:pt idx="7">
                  <c:v>Churn</c:v>
                </c:pt>
                <c:pt idx="8">
                  <c:v>Closing ARR</c:v>
                </c:pt>
              </c:strCache>
            </c:strRef>
          </c:cat>
          <c:val>
            <c:numRef>
              <c:f>'4e ARR bridge'!$C$21:$C$29</c:f>
              <c:numCache>
                <c:formatCode>#,##0,;\(#,##0,\);\-</c:formatCode>
                <c:ptCount val="9"/>
                <c:pt idx="0">
                  <c:v>0</c:v>
                </c:pt>
                <c:pt idx="1">
                  <c:v>5571543.6</c:v>
                </c:pt>
                <c:pt idx="2">
                  <c:v>413062.32</c:v>
                </c:pt>
                <c:pt idx="3">
                  <c:v>0</c:v>
                </c:pt>
                <c:pt idx="4">
                  <c:v>2314269.24</c:v>
                </c:pt>
                <c:pt idx="5">
                  <c:v>0</c:v>
                </c:pt>
                <c:pt idx="6">
                  <c:v>0</c:v>
                </c:pt>
                <c:pt idx="7">
                  <c:v>0</c:v>
                </c:pt>
                <c:pt idx="8">
                  <c:v>0</c:v>
                </c:pt>
              </c:numCache>
            </c:numRef>
          </c:val>
        </c:ser>
        <c:ser>
          <c:idx val="2"/>
          <c:order val="2"/>
          <c:tx>
            <c:strRef>
              <c:f>'4e ARR bridge'!D20</c:f>
              <c:strCache>
                <c:ptCount val="1"/>
                <c:pt idx="0">
                  <c:v>Decrease</c:v>
                </c:pt>
              </c:strCache>
            </c:strRef>
          </c:tx>
          <c:spPr>
            <a:solidFill>
              <a:srgbClr val="e34948"/>
            </a:solidFill>
            <a:ln w="0">
              <a:solidFill>
                <a:srgbClr val="1baf7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'4e ARR bridge'!$A$21:$A$29</c:f>
              <c:strCache>
                <c:ptCount val="9"/>
                <c:pt idx="0">
                  <c:v>Opening ARR</c:v>
                </c:pt>
                <c:pt idx="1">
                  <c:v>New customers</c:v>
                </c:pt>
                <c:pt idx="2">
                  <c:v>Cross-sell</c:v>
                </c:pt>
                <c:pt idx="3">
                  <c:v>Upsell</c:v>
                </c:pt>
                <c:pt idx="4">
                  <c:v>Price increase</c:v>
                </c:pt>
                <c:pt idx="5">
                  <c:v>Downgrade</c:v>
                </c:pt>
                <c:pt idx="6">
                  <c:v>Contraction</c:v>
                </c:pt>
                <c:pt idx="7">
                  <c:v>Churn</c:v>
                </c:pt>
                <c:pt idx="8">
                  <c:v>Closing ARR</c:v>
                </c:pt>
              </c:strCache>
            </c:strRef>
          </c:cat>
          <c:val>
            <c:numRef>
              <c:f>'4e ARR bridge'!$D$21:$D$29</c:f>
              <c:numCache>
                <c:formatCode>#,##0,;\(#,##0,\);\-</c:formatCode>
                <c:ptCount val="9"/>
                <c:pt idx="0">
                  <c:v>0</c:v>
                </c:pt>
                <c:pt idx="1">
                  <c:v>0</c:v>
                </c:pt>
                <c:pt idx="2">
                  <c:v>0</c:v>
                </c:pt>
                <c:pt idx="3">
                  <c:v>0</c:v>
                </c:pt>
                <c:pt idx="4">
                  <c:v>0</c:v>
                </c:pt>
                <c:pt idx="5">
                  <c:v>1529874.12</c:v>
                </c:pt>
                <c:pt idx="6">
                  <c:v>0</c:v>
                </c:pt>
                <c:pt idx="7">
                  <c:v>2906009.28</c:v>
                </c:pt>
                <c:pt idx="8">
                  <c:v>0</c:v>
                </c:pt>
              </c:numCache>
            </c:numRef>
          </c:val>
        </c:ser>
        <c:ser>
          <c:idx val="3"/>
          <c:order val="3"/>
          <c:tx>
            <c:strRef>
              <c:f>'4e ARR bridge'!E20</c:f>
              <c:strCache>
                <c:ptCount val="1"/>
                <c:pt idx="0">
                  <c:v>Total</c:v>
                </c:pt>
              </c:strCache>
            </c:strRef>
          </c:tx>
          <c:spPr>
            <a:solidFill>
              <a:srgbClr val="8a8983"/>
            </a:solidFill>
            <a:ln w="0">
              <a:solidFill>
                <a:srgbClr val="eda1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'4e ARR bridge'!$A$21:$A$29</c:f>
              <c:strCache>
                <c:ptCount val="9"/>
                <c:pt idx="0">
                  <c:v>Opening ARR</c:v>
                </c:pt>
                <c:pt idx="1">
                  <c:v>New customers</c:v>
                </c:pt>
                <c:pt idx="2">
                  <c:v>Cross-sell</c:v>
                </c:pt>
                <c:pt idx="3">
                  <c:v>Upsell</c:v>
                </c:pt>
                <c:pt idx="4">
                  <c:v>Price increase</c:v>
                </c:pt>
                <c:pt idx="5">
                  <c:v>Downgrade</c:v>
                </c:pt>
                <c:pt idx="6">
                  <c:v>Contraction</c:v>
                </c:pt>
                <c:pt idx="7">
                  <c:v>Churn</c:v>
                </c:pt>
                <c:pt idx="8">
                  <c:v>Closing ARR</c:v>
                </c:pt>
              </c:strCache>
            </c:strRef>
          </c:cat>
          <c:val>
            <c:numRef>
              <c:f>'4e ARR bridge'!$E$21:$E$29</c:f>
              <c:numCache>
                <c:formatCode>#,##0,;\(#,##0,\);\-</c:formatCode>
                <c:ptCount val="9"/>
                <c:pt idx="0">
                  <c:v>37496836.08</c:v>
                </c:pt>
                <c:pt idx="1">
                  <c:v>0</c:v>
                </c:pt>
                <c:pt idx="2">
                  <c:v>0</c:v>
                </c:pt>
                <c:pt idx="3">
                  <c:v>0</c:v>
                </c:pt>
                <c:pt idx="4">
                  <c:v>0</c:v>
                </c:pt>
                <c:pt idx="5">
                  <c:v>0</c:v>
                </c:pt>
                <c:pt idx="6">
                  <c:v>0</c:v>
                </c:pt>
                <c:pt idx="7">
                  <c:v>0</c:v>
                </c:pt>
                <c:pt idx="8">
                  <c:v>41359827.84</c:v>
                </c:pt>
              </c:numCache>
            </c:numRef>
          </c:val>
        </c:ser>
        <c:gapWidth val="150"/>
        <c:overlap val="100"/>
        <c:axId val="100001"/>
        <c:axId val="100002"/>
      </c:barChart>
      <c:catAx>
        <c:axId val="10000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0002"/>
        <c:crosses val="autoZero"/>
        <c:auto val="1"/>
        <c:lblAlgn val="ctr"/>
        <c:lblOffset val="100"/>
        <c:noMultiLvlLbl val="0"/>
      </c:catAx>
      <c:valAx>
        <c:axId val="100002"/>
        <c:scaling>
          <c:orientation val="minMax"/>
          <c:min val="25000000"/>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£'000</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000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Gross margin by product line</a:t>
            </a:r>
          </a:p>
        </c:rich>
      </c:tx>
      <c:overlay val="0"/>
      <c:spPr>
        <a:noFill/>
        <a:ln w="0">
          <a:noFill/>
        </a:ln>
      </c:spPr>
    </c:title>
    <c:autoTitleDeleted val="0"/>
    <c:plotArea>
      <c:lineChart>
        <c:grouping val="standard"/>
        <c:varyColors val="0"/>
        <c:ser>
          <c:idx val="0"/>
          <c:order val="0"/>
          <c:tx>
            <c:strRef>
              <c:f>'4f Margin'!A30</c:f>
              <c:strCache>
                <c:ptCount val="1"/>
                <c:pt idx="0">
                  <c:v>Core Platform</c:v>
                </c:pt>
              </c:strCache>
            </c:strRef>
          </c:tx>
          <c:spPr>
            <a:solidFill>
              <a:srgbClr val="2a78d6"/>
            </a:solidFill>
            <a:ln w="2844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'4f Margin'!$B$29:$E$29</c:f>
              <c:strCache>
                <c:ptCount val="4"/>
                <c:pt idx="0">
                  <c:v>2022</c:v>
                </c:pt>
                <c:pt idx="1">
                  <c:v>2023</c:v>
                </c:pt>
                <c:pt idx="2">
                  <c:v>2024</c:v>
                </c:pt>
                <c:pt idx="3">
                  <c:v>2025</c:v>
                </c:pt>
              </c:strCache>
            </c:strRef>
          </c:cat>
          <c:val>
            <c:numRef>
              <c:f>'4f Margin'!$B$30:$E$30</c:f>
              <c:numCache>
                <c:formatCode>0.0%;\(0.0%\);\-</c:formatCode>
                <c:ptCount val="4"/>
                <c:pt idx="0">
                  <c:v>0.815825966461099</c:v>
                </c:pt>
                <c:pt idx="1">
                  <c:v>0.816907693114158</c:v>
                </c:pt>
                <c:pt idx="2">
                  <c:v>0.818269013425447</c:v>
                </c:pt>
                <c:pt idx="3">
                  <c:v>0.820714394804835</c:v>
                </c:pt>
              </c:numCache>
            </c:numRef>
          </c:val>
          <c:smooth val="1"/>
        </c:ser>
        <c:ser>
          <c:idx val="1"/>
          <c:order val="1"/>
          <c:tx>
            <c:strRef>
              <c:f>'4f Margin'!A31</c:f>
              <c:strCache>
                <c:ptCount val="1"/>
                <c:pt idx="0">
                  <c:v>Analytics Add-on</c:v>
                </c:pt>
              </c:strCache>
            </c:strRef>
          </c:tx>
          <c:spPr>
            <a:solidFill>
              <a:srgbClr val="eb6834"/>
            </a:solidFill>
            <a:ln w="2844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'4f Margin'!$B$29:$E$29</c:f>
              <c:strCache>
                <c:ptCount val="4"/>
                <c:pt idx="0">
                  <c:v>2022</c:v>
                </c:pt>
                <c:pt idx="1">
                  <c:v>2023</c:v>
                </c:pt>
                <c:pt idx="2">
                  <c:v>2024</c:v>
                </c:pt>
                <c:pt idx="3">
                  <c:v>2025</c:v>
                </c:pt>
              </c:strCache>
            </c:strRef>
          </c:cat>
          <c:val>
            <c:numRef>
              <c:f>'4f Margin'!$B$31:$E$31</c:f>
              <c:numCache>
                <c:formatCode>0.0%;\(0.0%\);\-</c:formatCode>
                <c:ptCount val="4"/>
                <c:pt idx="0">
                  <c:v>0.778807090240523</c:v>
                </c:pt>
                <c:pt idx="1">
                  <c:v>0.777229336490833</c:v>
                </c:pt>
                <c:pt idx="2">
                  <c:v>0.775075882351069</c:v>
                </c:pt>
                <c:pt idx="3">
                  <c:v>0.777362164964393</c:v>
                </c:pt>
              </c:numCache>
            </c:numRef>
          </c:val>
          <c:smooth val="1"/>
        </c:ser>
        <c:ser>
          <c:idx val="2"/>
          <c:order val="2"/>
          <c:tx>
            <c:strRef>
              <c:f>'4f Margin'!A32</c:f>
              <c:strCache>
                <c:ptCount val="1"/>
                <c:pt idx="0">
                  <c:v>Payments Module</c:v>
                </c:pt>
              </c:strCache>
            </c:strRef>
          </c:tx>
          <c:spPr>
            <a:solidFill>
              <a:srgbClr val="1baf7a"/>
            </a:solidFill>
            <a:ln w="2844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'4f Margin'!$B$29:$E$29</c:f>
              <c:strCache>
                <c:ptCount val="4"/>
                <c:pt idx="0">
                  <c:v>2022</c:v>
                </c:pt>
                <c:pt idx="1">
                  <c:v>2023</c:v>
                </c:pt>
                <c:pt idx="2">
                  <c:v>2024</c:v>
                </c:pt>
                <c:pt idx="3">
                  <c:v>2025</c:v>
                </c:pt>
              </c:strCache>
            </c:strRef>
          </c:cat>
          <c:val>
            <c:numRef>
              <c:f>'4f Margin'!$B$32:$E$32</c:f>
              <c:numCache>
                <c:formatCode>0.0%;\(0.0%\);\-</c:formatCode>
                <c:ptCount val="4"/>
                <c:pt idx="0">
                  <c:v>0.654831865690865</c:v>
                </c:pt>
                <c:pt idx="1">
                  <c:v>0.645462771119443</c:v>
                </c:pt>
                <c:pt idx="2">
                  <c:v>0.644980256530354</c:v>
                </c:pt>
                <c:pt idx="3">
                  <c:v>0.658082874534</c:v>
                </c:pt>
              </c:numCache>
            </c:numRef>
          </c:val>
          <c:smooth val="1"/>
        </c:ser>
        <c:ser>
          <c:idx val="3"/>
          <c:order val="3"/>
          <c:tx>
            <c:strRef>
              <c:f>'4f Margin'!A33</c:f>
              <c:strCache>
                <c:ptCount val="1"/>
                <c:pt idx="0">
                  <c:v>Implementation Services</c:v>
                </c:pt>
              </c:strCache>
            </c:strRef>
          </c:tx>
          <c:spPr>
            <a:solidFill>
              <a:srgbClr val="eda100"/>
            </a:solidFill>
            <a:ln w="28440">
              <a:solidFill>
                <a:srgbClr val="eda10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'4f Margin'!$B$29:$E$29</c:f>
              <c:strCache>
                <c:ptCount val="4"/>
                <c:pt idx="0">
                  <c:v>2022</c:v>
                </c:pt>
                <c:pt idx="1">
                  <c:v>2023</c:v>
                </c:pt>
                <c:pt idx="2">
                  <c:v>2024</c:v>
                </c:pt>
                <c:pt idx="3">
                  <c:v>2025</c:v>
                </c:pt>
              </c:strCache>
            </c:strRef>
          </c:cat>
          <c:val>
            <c:numRef>
              <c:f>'4f Margin'!$B$33:$E$33</c:f>
              <c:numCache>
                <c:formatCode>0.0%;\(0.0%\);\-</c:formatCode>
                <c:ptCount val="4"/>
                <c:pt idx="0">
                  <c:v>0.267091709702194</c:v>
                </c:pt>
                <c:pt idx="1">
                  <c:v>0.2867606521045</c:v>
                </c:pt>
                <c:pt idx="2">
                  <c:v>0.297957511160361</c:v>
                </c:pt>
                <c:pt idx="3">
                  <c:v>0.270753783967204</c:v>
                </c:pt>
              </c:numCache>
            </c:numRef>
          </c:val>
          <c:smooth val="1"/>
        </c:ser>
        <c:hiLowLines>
          <c:spPr>
            <a:ln w="0">
              <a:noFill/>
            </a:ln>
          </c:spPr>
        </c:hiLowLines>
        <c:marker val="0"/>
        <c:axId val="100001"/>
        <c:axId val="100002"/>
      </c:lineChart>
      <c:catAx>
        <c:axId val="10000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0002"/>
        <c:crosses val="autoZero"/>
        <c:auto val="1"/>
        <c:lblAlgn val="ctr"/>
        <c:lblOffset val="100"/>
        <c:noMultiLvlLbl val="0"/>
      </c:catAx>
      <c:valAx>
        <c:axId val="100002"/>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Gross margin</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000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2025 logo churn by acquisition channel</a:t>
            </a:r>
          </a:p>
        </c:rich>
      </c:tx>
      <c:overlay val="0"/>
      <c:spPr>
        <a:noFill/>
        <a:ln w="0">
          <a:noFill/>
        </a:ln>
      </c:spPr>
    </c:title>
    <c:autoTitleDeleted val="0"/>
    <c:plotArea>
      <c:barChart>
        <c:barDir val="bar"/>
        <c:grouping val="clustered"/>
        <c:varyColors val="0"/>
        <c:ser>
          <c:idx val="0"/>
          <c:order val="0"/>
          <c:spPr>
            <a:solidFill>
              <a:srgbClr val="2a78d6"/>
            </a:solidFill>
            <a:ln w="0">
              <a:solidFill>
                <a:srgbClr val="2a78d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'4g Segments'!$A$20:$A$24</c:f>
              <c:strCache>
                <c:ptCount val="5"/>
                <c:pt idx="0">
                  <c:v>Direct Sales</c:v>
                </c:pt>
                <c:pt idx="1">
                  <c:v>Inbound/Website</c:v>
                </c:pt>
                <c:pt idx="2">
                  <c:v>Paid Search</c:v>
                </c:pt>
                <c:pt idx="3">
                  <c:v>Partner/Reseller</c:v>
                </c:pt>
                <c:pt idx="4">
                  <c:v>Referral</c:v>
                </c:pt>
              </c:strCache>
            </c:strRef>
          </c:cat>
          <c:val>
            <c:numRef>
              <c:f>'4g Segments'!$K$20:$K$24</c:f>
              <c:numCache>
                <c:formatCode>0.0%;\(0.0%\);\-</c:formatCode>
                <c:ptCount val="5"/>
                <c:pt idx="0">
                  <c:v>0.0859375</c:v>
                </c:pt>
                <c:pt idx="1">
                  <c:v>0.094017094017094</c:v>
                </c:pt>
                <c:pt idx="2">
                  <c:v>0.194570135746606</c:v>
                </c:pt>
                <c:pt idx="3">
                  <c:v>0.197309417040359</c:v>
                </c:pt>
                <c:pt idx="4">
                  <c:v>0.109756097560976</c:v>
                </c:pt>
              </c:numCache>
            </c:numRef>
          </c:val>
        </c:ser>
        <c:gapWidth val="150"/>
        <c:overlap val="0"/>
        <c:axId val="100001"/>
        <c:axId val="100002"/>
      </c:barChart>
      <c:catAx>
        <c:axId val="10000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0002"/>
        <c:crosses val="autoZero"/>
        <c:auto val="1"/>
        <c:lblAlgn val="ctr"/>
        <c:lblOffset val="100"/>
        <c:noMultiLvlLbl val="0"/>
      </c:catAx>
      <c:valAx>
        <c:axId val="100002"/>
        <c:scaling>
          <c:orientation val="minMax"/>
        </c:scaling>
        <c:delete val="0"/>
        <c:axPos val="l"/>
        <c:title>
          <c:tx>
            <c:rich>
              <a:bodyPr rot="0"/>
              <a:lstStyle/>
              <a:p>
                <a:pPr>
                  <a:defRPr b="1" sz="1000" spc="-1" strike="noStrike">
                    <a:solidFill>
                      <a:srgbClr val="000000"/>
                    </a:solidFill>
                    <a:latin typeface="Calibri"/>
                  </a:defRPr>
                </a:pPr>
                <a:r>
                  <a:rPr b="1" sz="1000" spc="-1" strike="noStrike">
                    <a:solidFill>
                      <a:srgbClr val="000000"/>
                    </a:solidFill>
                    <a:latin typeface="Calibri"/>
                  </a:rPr>
                  <a:t>Logo churn</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000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
</Relationships>
</file>

<file path=xl/drawings/_rels/drawing5.xml.rels><?xml version="1.0" encoding="UTF-8"?>
<Relationships xmlns="http://schemas.openxmlformats.org/package/2006/relationships"><Relationship Id="rId1" Type="http://schemas.openxmlformats.org/officeDocument/2006/relationships/chart" Target="../charts/chart5.xml"/>
</Relationships>
</file>

<file path=xl/drawings/_rels/drawing6.xml.rels><?xml version="1.0" encoding="UTF-8"?>
<Relationships xmlns="http://schemas.openxmlformats.org/package/2006/relationships"><Relationship Id="rId1" Type="http://schemas.openxmlformats.org/officeDocument/2006/relationships/chart" Target="../charts/chart6.xml"/>
</Relationships>
</file>

<file path=xl/drawings/_rels/drawing7.xml.rels><?xml version="1.0" encoding="UTF-8"?>
<Relationships xmlns="http://schemas.openxmlformats.org/package/2006/relationships"><Relationship Id="rId1" Type="http://schemas.openxmlformats.org/officeDocument/2006/relationships/chart" Target="../charts/chart7.xml"/>
</Relationships>
</file>

<file path=xl/drawings/_rels/drawing8.xml.rels><?xml version="1.0" encoding="UTF-8"?>
<Relationships xmlns="http://schemas.openxmlformats.org/package/2006/relationships"><Relationship Id="rId1"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97</xdr:row>
      <xdr:rowOff>0</xdr:rowOff>
    </xdr:from>
    <xdr:to>
      <xdr:col>5</xdr:col>
      <xdr:colOff>994320</xdr:colOff>
      <xdr:row>113</xdr:row>
      <xdr:rowOff>11520</xdr:rowOff>
    </xdr:to>
    <xdr:graphicFrame>
      <xdr:nvGraphicFramePr>
        <xdr:cNvPr id="0" name="Chart 1"/>
        <xdr:cNvGraphicFramePr/>
      </xdr:nvGraphicFramePr>
      <xdr:xfrm>
        <a:off x="0" y="19240560"/>
        <a:ext cx="863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20</xdr:row>
      <xdr:rowOff>0</xdr:rowOff>
    </xdr:from>
    <xdr:to>
      <xdr:col>4</xdr:col>
      <xdr:colOff>345600</xdr:colOff>
      <xdr:row>36</xdr:row>
      <xdr:rowOff>11880</xdr:rowOff>
    </xdr:to>
    <xdr:graphicFrame>
      <xdr:nvGraphicFramePr>
        <xdr:cNvPr id="1" name="Chart 1"/>
        <xdr:cNvGraphicFramePr/>
      </xdr:nvGraphicFramePr>
      <xdr:xfrm>
        <a:off x="0" y="4191120"/>
        <a:ext cx="647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4</xdr:row>
      <xdr:rowOff>0</xdr:rowOff>
    </xdr:from>
    <xdr:to>
      <xdr:col>20</xdr:col>
      <xdr:colOff>278640</xdr:colOff>
      <xdr:row>19</xdr:row>
      <xdr:rowOff>11880</xdr:rowOff>
    </xdr:to>
    <xdr:graphicFrame>
      <xdr:nvGraphicFramePr>
        <xdr:cNvPr id="2" name="Chart 1"/>
        <xdr:cNvGraphicFramePr/>
      </xdr:nvGraphicFramePr>
      <xdr:xfrm>
        <a:off x="13957200" y="762120"/>
        <a:ext cx="647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4</xdr:row>
      <xdr:rowOff>0</xdr:rowOff>
    </xdr:from>
    <xdr:to>
      <xdr:col>16</xdr:col>
      <xdr:colOff>700920</xdr:colOff>
      <xdr:row>18</xdr:row>
      <xdr:rowOff>11880</xdr:rowOff>
    </xdr:to>
    <xdr:graphicFrame>
      <xdr:nvGraphicFramePr>
        <xdr:cNvPr id="3" name="Chart 1"/>
        <xdr:cNvGraphicFramePr/>
      </xdr:nvGraphicFramePr>
      <xdr:xfrm>
        <a:off x="12623760" y="762120"/>
        <a:ext cx="647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4</xdr:row>
      <xdr:rowOff>0</xdr:rowOff>
    </xdr:from>
    <xdr:to>
      <xdr:col>19</xdr:col>
      <xdr:colOff>408960</xdr:colOff>
      <xdr:row>19</xdr:row>
      <xdr:rowOff>11880</xdr:rowOff>
    </xdr:to>
    <xdr:graphicFrame>
      <xdr:nvGraphicFramePr>
        <xdr:cNvPr id="4" name="Chart 1"/>
        <xdr:cNvGraphicFramePr/>
      </xdr:nvGraphicFramePr>
      <xdr:xfrm>
        <a:off x="14982840" y="762120"/>
        <a:ext cx="647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4</xdr:row>
      <xdr:rowOff>0</xdr:rowOff>
    </xdr:from>
    <xdr:to>
      <xdr:col>19</xdr:col>
      <xdr:colOff>331560</xdr:colOff>
      <xdr:row>19</xdr:row>
      <xdr:rowOff>11880</xdr:rowOff>
    </xdr:to>
    <xdr:graphicFrame>
      <xdr:nvGraphicFramePr>
        <xdr:cNvPr id="5" name="Chart 1"/>
        <xdr:cNvGraphicFramePr/>
      </xdr:nvGraphicFramePr>
      <xdr:xfrm>
        <a:off x="11912760" y="762120"/>
        <a:ext cx="791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4</xdr:row>
      <xdr:rowOff>0</xdr:rowOff>
    </xdr:from>
    <xdr:to>
      <xdr:col>18</xdr:col>
      <xdr:colOff>408960</xdr:colOff>
      <xdr:row>18</xdr:row>
      <xdr:rowOff>11880</xdr:rowOff>
    </xdr:to>
    <xdr:graphicFrame>
      <xdr:nvGraphicFramePr>
        <xdr:cNvPr id="6" name="Chart 1"/>
        <xdr:cNvGraphicFramePr/>
      </xdr:nvGraphicFramePr>
      <xdr:xfrm>
        <a:off x="12268080" y="762120"/>
        <a:ext cx="647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0</xdr:colOff>
      <xdr:row>4</xdr:row>
      <xdr:rowOff>0</xdr:rowOff>
    </xdr:from>
    <xdr:to>
      <xdr:col>23</xdr:col>
      <xdr:colOff>408960</xdr:colOff>
      <xdr:row>19</xdr:row>
      <xdr:rowOff>11880</xdr:rowOff>
    </xdr:to>
    <xdr:graphicFrame>
      <xdr:nvGraphicFramePr>
        <xdr:cNvPr id="7" name="Chart 1"/>
        <xdr:cNvGraphicFramePr/>
      </xdr:nvGraphicFramePr>
      <xdr:xfrm>
        <a:off x="18183240" y="762120"/>
        <a:ext cx="647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Northbridge_Databook.xlsx" TargetMode="External"/><Relationship Id="rId2" Type="http://schemas.openxmlformats.org/officeDocument/2006/relationships/hyperlink" Target="Northbridge_Databook.xlsx" TargetMode="External"/><Relationship Id="rId3" Type="http://schemas.openxmlformats.org/officeDocument/2006/relationships/hyperlink" Target="Northbridge_Databook.xlsx" TargetMode="External"/><Relationship Id="rId4" Type="http://schemas.openxmlformats.org/officeDocument/2006/relationships/hyperlink" Target="Northbridge_Databook.xlsx" TargetMode="External"/><Relationship Id="rId5" Type="http://schemas.openxmlformats.org/officeDocument/2006/relationships/hyperlink" Target="Northbridge_Databook.xlsx" TargetMode="External"/><Relationship Id="rId6" Type="http://schemas.openxmlformats.org/officeDocument/2006/relationships/hyperlink" Target="Northbridge_Databook.xlsx" TargetMode="External"/><Relationship Id="rId7" Type="http://schemas.openxmlformats.org/officeDocument/2006/relationships/hyperlink" Target="Northbridge_Databook.xlsx" TargetMode="External"/><Relationship Id="rId8" Type="http://schemas.openxmlformats.org/officeDocument/2006/relationships/hyperlink" Target="Northbridge_Databook.xlsx" TargetMode="External"/><Relationship Id="rId9" Type="http://schemas.openxmlformats.org/officeDocument/2006/relationships/hyperlink" Target="Northbridge_Databook.xlsx" TargetMode="External"/><Relationship Id="rId10" Type="http://schemas.openxmlformats.org/officeDocument/2006/relationships/hyperlink" Target="Northbridge_Databook.xlsx" TargetMode="External"/><Relationship Id="rId11" Type="http://schemas.openxmlformats.org/officeDocument/2006/relationships/hyperlink" Target="Northbridge_Databook.xlsx"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github.com/xbhxnxv/northbridge-buyside-diligence/blob/main/docs/metric_definitions.md" TargetMode="Externa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drawing" Target="../drawings/drawing7.xml"/>
</Relationships>
</file>

<file path=xl/worksheets/_rels/sheet11.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B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10"/>
  </cols>
  <sheetData>
    <row r="3" customFormat="false" ht="15" hidden="false" customHeight="false" outlineLevel="0" collapsed="false">
      <c r="B3" s="1" t="s">
        <v>0</v>
      </c>
    </row>
    <row r="5" customFormat="false" ht="15" hidden="false" customHeight="false" outlineLevel="0" collapsed="false">
      <c r="B5" s="1" t="s">
        <v>1</v>
      </c>
    </row>
    <row r="7" customFormat="false" ht="15" hidden="false" customHeight="false" outlineLevel="0" collapsed="false">
      <c r="B7" s="2" t="s">
        <v>2</v>
      </c>
    </row>
    <row r="8" customFormat="false" ht="15" hidden="false" customHeight="false" outlineLevel="0" collapsed="false">
      <c r="B8" s="2" t="s">
        <v>3</v>
      </c>
    </row>
    <row r="9" customFormat="false" ht="15" hidden="false" customHeight="false" outlineLevel="0" collapsed="false">
      <c r="B9" s="2" t="s">
        <v>4</v>
      </c>
    </row>
    <row r="10" customFormat="false" ht="15" hidden="false" customHeight="false" outlineLevel="0" collapsed="false">
      <c r="B10" s="2" t="s">
        <v>5</v>
      </c>
    </row>
    <row r="12" customFormat="false" ht="30" hidden="false" customHeight="true" outlineLevel="0" collapsed="false">
      <c r="B12" s="3" t="s">
        <v>6</v>
      </c>
    </row>
    <row r="14" customFormat="false" ht="15" hidden="false" customHeight="false" outlineLevel="0" collapsed="false">
      <c r="B14" s="2" t="s">
        <v>7</v>
      </c>
    </row>
    <row r="15" customFormat="false" ht="15" hidden="false" customHeight="false" outlineLevel="0" collapsed="false">
      <c r="B15" s="2" t="s">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1" t="s">
        <v>9</v>
      </c>
    </row>
    <row r="3" customFormat="false" ht="30" hidden="false" customHeight="true" outlineLevel="0" collapsed="false">
      <c r="A3" s="4" t="s">
        <v>10</v>
      </c>
      <c r="B3" s="4" t="s">
        <v>11</v>
      </c>
    </row>
    <row r="4" customFormat="false" ht="15" hidden="false" customHeight="false" outlineLevel="0" collapsed="false">
      <c r="A4" s="5" t="s">
        <v>12</v>
      </c>
      <c r="B4" s="2" t="s">
        <v>13</v>
      </c>
    </row>
    <row r="5" customFormat="false" ht="15" hidden="false" customHeight="false" outlineLevel="0" collapsed="false">
      <c r="A5" s="5" t="s">
        <v>14</v>
      </c>
      <c r="B5" s="2" t="s">
        <v>15</v>
      </c>
    </row>
    <row r="6" customFormat="false" ht="15" hidden="false" customHeight="false" outlineLevel="0" collapsed="false">
      <c r="A6" s="5" t="s">
        <v>16</v>
      </c>
      <c r="B6" s="2" t="s">
        <v>17</v>
      </c>
    </row>
    <row r="7" customFormat="false" ht="15" hidden="false" customHeight="false" outlineLevel="0" collapsed="false">
      <c r="A7" s="5" t="s">
        <v>18</v>
      </c>
      <c r="B7" s="2" t="s">
        <v>19</v>
      </c>
    </row>
    <row r="8" customFormat="false" ht="15" hidden="false" customHeight="false" outlineLevel="0" collapsed="false">
      <c r="A8" s="5" t="s">
        <v>20</v>
      </c>
      <c r="B8" s="2" t="s">
        <v>21</v>
      </c>
    </row>
    <row r="9" customFormat="false" ht="15" hidden="false" customHeight="false" outlineLevel="0" collapsed="false">
      <c r="A9" s="5" t="s">
        <v>22</v>
      </c>
      <c r="B9" s="2" t="s">
        <v>23</v>
      </c>
    </row>
    <row r="10" customFormat="false" ht="15" hidden="false" customHeight="false" outlineLevel="0" collapsed="false">
      <c r="A10" s="5" t="s">
        <v>24</v>
      </c>
      <c r="B10" s="2" t="s">
        <v>25</v>
      </c>
    </row>
    <row r="11" customFormat="false" ht="15" hidden="false" customHeight="false" outlineLevel="0" collapsed="false">
      <c r="A11" s="5" t="s">
        <v>26</v>
      </c>
      <c r="B11" s="2" t="s">
        <v>27</v>
      </c>
    </row>
    <row r="12" customFormat="false" ht="15" hidden="false" customHeight="false" outlineLevel="0" collapsed="false">
      <c r="A12" s="5" t="s">
        <v>28</v>
      </c>
      <c r="B12" s="2" t="s">
        <v>29</v>
      </c>
    </row>
    <row r="13" customFormat="false" ht="15" hidden="false" customHeight="false" outlineLevel="0" collapsed="false">
      <c r="A13" s="5" t="s">
        <v>30</v>
      </c>
      <c r="B13" s="2" t="s">
        <v>31</v>
      </c>
    </row>
    <row r="14" customFormat="false" ht="15" hidden="false" customHeight="false" outlineLevel="0" collapsed="false">
      <c r="A14" s="5" t="s">
        <v>32</v>
      </c>
      <c r="B14" s="2" t="s">
        <v>33</v>
      </c>
    </row>
  </sheetData>
  <hyperlinks>
    <hyperlink ref="A4" r:id="rId1" location="'Basis'!A1" display="Basis"/>
    <hyperlink ref="A5" r:id="rId2" location="'Reconciliation'!A1" display="Reconciliation"/>
    <hyperlink ref="A6" r:id="rId3" location="'4a%20Revenue%20quality'!A1" display="4a Revenue quality"/>
    <hyperlink ref="A7" r:id="rId4" location="'4b%20Concentration'!A1" display="4b Concentration"/>
    <hyperlink ref="A8" r:id="rId5" location="'4c%20Cohorts'!A1" display="4c Cohorts"/>
    <hyperlink ref="A9" r:id="rId6" location="'4d%20NRR%20GRR'!A1" display="4d NRR GRR"/>
    <hyperlink ref="A10" r:id="rId7" location="'4e%20ARR%20bridge'!A1" display="4e ARR bridge"/>
    <hyperlink ref="A11" r:id="rId8" location="'4f%20Margin'!A1" display="4f Margin"/>
    <hyperlink ref="A12" r:id="rId9" location="'4g%20Segments'!A1" display="4g Segments"/>
    <hyperlink ref="A13" r:id="rId10" location="'Q&amp;A%20log'!A1" display="Q&amp;A log"/>
    <hyperlink ref="A14" r:id="rId11" location="'Checks'!A1" display="Check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4" min="2" style="0" width="14"/>
    <col collapsed="false" customWidth="true" hidden="false" outlineLevel="0" max="10" min="5" style="0" width="12"/>
    <col collapsed="false" customWidth="true" hidden="false" outlineLevel="0" max="11" min="11" style="0" width="80"/>
  </cols>
  <sheetData>
    <row r="1" customFormat="false" ht="15" hidden="false" customHeight="false" outlineLevel="0" collapsed="false">
      <c r="A1" s="1" t="s">
        <v>34</v>
      </c>
    </row>
    <row r="2" customFormat="false" ht="15" hidden="false" customHeight="false" outlineLevel="0" collapsed="false">
      <c r="A2" s="2" t="s">
        <v>35</v>
      </c>
    </row>
    <row r="3" customFormat="false" ht="15" hidden="false" customHeight="false" outlineLevel="0" collapsed="false">
      <c r="A3" s="2" t="s">
        <v>36</v>
      </c>
    </row>
    <row r="5" customFormat="false" ht="27.75" hidden="false" customHeight="true" outlineLevel="0" collapsed="false">
      <c r="A5" s="1" t="s">
        <v>37</v>
      </c>
      <c r="B5" s="6" t="s">
        <v>38</v>
      </c>
      <c r="C5" s="6"/>
      <c r="D5" s="6"/>
      <c r="E5" s="6"/>
      <c r="F5" s="6"/>
      <c r="G5" s="6"/>
      <c r="H5" s="6"/>
      <c r="I5" s="6"/>
      <c r="J5" s="6"/>
      <c r="K5" s="6"/>
    </row>
    <row r="6" customFormat="false" ht="27.75" hidden="false" customHeight="true" outlineLevel="0" collapsed="false">
      <c r="A6" s="1" t="s">
        <v>39</v>
      </c>
      <c r="B6" s="6" t="s">
        <v>40</v>
      </c>
      <c r="C6" s="6"/>
      <c r="D6" s="6"/>
      <c r="E6" s="6"/>
      <c r="F6" s="6"/>
      <c r="G6" s="6"/>
      <c r="H6" s="6"/>
      <c r="I6" s="6"/>
      <c r="J6" s="6"/>
      <c r="K6" s="6"/>
    </row>
    <row r="7" customFormat="false" ht="27.75" hidden="false" customHeight="true" outlineLevel="0" collapsed="false">
      <c r="A7" s="1" t="s">
        <v>41</v>
      </c>
      <c r="B7" s="6" t="s">
        <v>42</v>
      </c>
      <c r="C7" s="6"/>
      <c r="D7" s="6"/>
      <c r="E7" s="6"/>
      <c r="F7" s="6"/>
      <c r="G7" s="6"/>
      <c r="H7" s="6"/>
      <c r="I7" s="6"/>
      <c r="J7" s="6"/>
      <c r="K7" s="6"/>
    </row>
    <row r="8" customFormat="false" ht="27.75" hidden="false" customHeight="true" outlineLevel="0" collapsed="false">
      <c r="A8" s="1" t="s">
        <v>43</v>
      </c>
      <c r="B8" s="6" t="s">
        <v>44</v>
      </c>
      <c r="C8" s="6"/>
      <c r="D8" s="6"/>
      <c r="E8" s="6"/>
      <c r="F8" s="6"/>
      <c r="G8" s="6"/>
      <c r="H8" s="6"/>
      <c r="I8" s="6"/>
      <c r="J8" s="6"/>
      <c r="K8" s="6"/>
    </row>
    <row r="9" customFormat="false" ht="27.75" hidden="false" customHeight="true" outlineLevel="0" collapsed="false">
      <c r="A9" s="1" t="s">
        <v>45</v>
      </c>
      <c r="B9" s="6" t="s">
        <v>46</v>
      </c>
      <c r="C9" s="6"/>
      <c r="D9" s="6"/>
      <c r="E9" s="6"/>
      <c r="F9" s="6"/>
      <c r="G9" s="6"/>
      <c r="H9" s="6"/>
      <c r="I9" s="6"/>
      <c r="J9" s="6"/>
      <c r="K9" s="6"/>
    </row>
    <row r="10" customFormat="false" ht="27.75" hidden="false" customHeight="true" outlineLevel="0" collapsed="false">
      <c r="A10" s="1" t="s">
        <v>47</v>
      </c>
      <c r="B10" s="6" t="s">
        <v>48</v>
      </c>
      <c r="C10" s="6"/>
      <c r="D10" s="6"/>
      <c r="E10" s="6"/>
      <c r="F10" s="6"/>
      <c r="G10" s="6"/>
      <c r="H10" s="6"/>
      <c r="I10" s="6"/>
      <c r="J10" s="6"/>
      <c r="K10" s="6"/>
    </row>
    <row r="11" customFormat="false" ht="15" hidden="false" customHeight="false" outlineLevel="0" collapsed="false">
      <c r="A11" s="1" t="s">
        <v>49</v>
      </c>
      <c r="B11" s="7" t="s">
        <v>50</v>
      </c>
    </row>
    <row r="13" customFormat="false" ht="15" hidden="false" customHeight="false" outlineLevel="0" collapsed="false">
      <c r="A13" s="8" t="s">
        <v>51</v>
      </c>
    </row>
    <row r="14" customFormat="false" ht="30" hidden="false" customHeight="true" outlineLevel="0" collapsed="false">
      <c r="A14" s="4" t="s">
        <v>52</v>
      </c>
      <c r="B14" s="4" t="s">
        <v>53</v>
      </c>
      <c r="C14" s="4" t="s">
        <v>54</v>
      </c>
      <c r="D14" s="4" t="s">
        <v>55</v>
      </c>
      <c r="E14" s="4" t="s">
        <v>56</v>
      </c>
      <c r="F14" s="4" t="s">
        <v>57</v>
      </c>
      <c r="G14" s="4" t="s">
        <v>58</v>
      </c>
      <c r="H14" s="4" t="s">
        <v>59</v>
      </c>
      <c r="I14" s="4" t="s">
        <v>60</v>
      </c>
      <c r="J14" s="4" t="s">
        <v>61</v>
      </c>
      <c r="K14" s="4" t="s">
        <v>62</v>
      </c>
    </row>
    <row r="15" customFormat="false" ht="39.75" hidden="false" customHeight="true" outlineLevel="0" collapsed="false">
      <c r="A15" s="9" t="s">
        <v>63</v>
      </c>
      <c r="B15" s="9" t="s">
        <v>64</v>
      </c>
      <c r="C15" s="9" t="s">
        <v>65</v>
      </c>
      <c r="D15" s="9" t="s">
        <v>66</v>
      </c>
      <c r="E15" s="10" t="n">
        <v>40</v>
      </c>
      <c r="F15" s="11" t="n">
        <v>-8596.92</v>
      </c>
      <c r="G15" s="11" t="n">
        <v>-70158.24</v>
      </c>
      <c r="H15" s="11" t="n">
        <v>-7115.7</v>
      </c>
      <c r="I15" s="11" t="n">
        <v>-11086.4</v>
      </c>
      <c r="J15" s="12" t="n">
        <f aca="false">SUM(F15:I15)</f>
        <v>-96957.26</v>
      </c>
      <c r="K15" s="13" t="s">
        <v>67</v>
      </c>
    </row>
    <row r="16" customFormat="false" ht="39.75" hidden="false" customHeight="true" outlineLevel="0" collapsed="false">
      <c r="A16" s="9" t="s">
        <v>68</v>
      </c>
      <c r="B16" s="9" t="s">
        <v>69</v>
      </c>
      <c r="C16" s="9" t="s">
        <v>65</v>
      </c>
      <c r="D16" s="9" t="s">
        <v>70</v>
      </c>
      <c r="E16" s="10" t="n">
        <v>15</v>
      </c>
      <c r="F16" s="11" t="n">
        <v>5788.75</v>
      </c>
      <c r="G16" s="11" t="n">
        <v>2118.96</v>
      </c>
      <c r="H16" s="11" t="n">
        <v>4073.48</v>
      </c>
      <c r="I16" s="11" t="n">
        <v>1862.63</v>
      </c>
      <c r="J16" s="12" t="n">
        <f aca="false">SUM(F16:I16)</f>
        <v>13843.82</v>
      </c>
      <c r="K16" s="13" t="s">
        <v>71</v>
      </c>
    </row>
    <row r="17" customFormat="false" ht="39.75" hidden="false" customHeight="true" outlineLevel="0" collapsed="false">
      <c r="A17" s="9" t="s">
        <v>72</v>
      </c>
      <c r="B17" s="9" t="s">
        <v>73</v>
      </c>
      <c r="C17" s="9" t="s">
        <v>65</v>
      </c>
      <c r="D17" s="9" t="s">
        <v>74</v>
      </c>
      <c r="E17" s="10" t="n">
        <v>1084</v>
      </c>
      <c r="F17" s="11" t="n">
        <v>0</v>
      </c>
      <c r="G17" s="11" t="n">
        <v>0</v>
      </c>
      <c r="H17" s="11" t="n">
        <v>0</v>
      </c>
      <c r="I17" s="11" t="n">
        <v>0</v>
      </c>
      <c r="J17" s="12" t="n">
        <f aca="false">SUM(F17:I17)</f>
        <v>0</v>
      </c>
      <c r="K17" s="13" t="s">
        <v>75</v>
      </c>
    </row>
    <row r="18" customFormat="false" ht="39.75" hidden="false" customHeight="true" outlineLevel="0" collapsed="false">
      <c r="A18" s="9" t="s">
        <v>76</v>
      </c>
      <c r="B18" s="9" t="s">
        <v>77</v>
      </c>
      <c r="C18" s="9" t="s">
        <v>78</v>
      </c>
      <c r="D18" s="9" t="s">
        <v>79</v>
      </c>
      <c r="E18" s="10" t="n">
        <v>132</v>
      </c>
      <c r="F18" s="11" t="n">
        <v>0</v>
      </c>
      <c r="G18" s="11" t="n">
        <v>0</v>
      </c>
      <c r="H18" s="11" t="n">
        <v>0</v>
      </c>
      <c r="I18" s="11" t="n">
        <v>0</v>
      </c>
      <c r="J18" s="12" t="n">
        <f aca="false">SUM(F18:I18)</f>
        <v>0</v>
      </c>
      <c r="K18" s="13" t="s">
        <v>80</v>
      </c>
    </row>
    <row r="19" customFormat="false" ht="39.75" hidden="false" customHeight="true" outlineLevel="0" collapsed="false">
      <c r="A19" s="9" t="s">
        <v>81</v>
      </c>
      <c r="B19" s="9" t="s">
        <v>82</v>
      </c>
      <c r="C19" s="9" t="s">
        <v>78</v>
      </c>
      <c r="D19" s="9" t="s">
        <v>70</v>
      </c>
      <c r="E19" s="10" t="n">
        <v>458</v>
      </c>
      <c r="F19" s="11" t="n">
        <v>0</v>
      </c>
      <c r="G19" s="11" t="n">
        <v>0</v>
      </c>
      <c r="H19" s="11" t="n">
        <v>0</v>
      </c>
      <c r="I19" s="11" t="n">
        <v>0</v>
      </c>
      <c r="J19" s="12" t="n">
        <f aca="false">SUM(F19:I19)</f>
        <v>0</v>
      </c>
      <c r="K19" s="13" t="s">
        <v>83</v>
      </c>
    </row>
    <row r="20" customFormat="false" ht="39.75" hidden="false" customHeight="true" outlineLevel="0" collapsed="false">
      <c r="A20" s="9" t="s">
        <v>84</v>
      </c>
      <c r="B20" s="9" t="s">
        <v>85</v>
      </c>
      <c r="C20" s="9" t="s">
        <v>78</v>
      </c>
      <c r="D20" s="9" t="s">
        <v>86</v>
      </c>
      <c r="E20" s="10" t="n">
        <v>382</v>
      </c>
      <c r="F20" s="11" t="n">
        <v>0</v>
      </c>
      <c r="G20" s="11" t="n">
        <v>0</v>
      </c>
      <c r="H20" s="11" t="n">
        <v>0</v>
      </c>
      <c r="I20" s="11" t="n">
        <v>0</v>
      </c>
      <c r="J20" s="12" t="n">
        <f aca="false">SUM(F20:I20)</f>
        <v>0</v>
      </c>
      <c r="K20" s="13" t="s">
        <v>87</v>
      </c>
    </row>
    <row r="21" customFormat="false" ht="39.75" hidden="false" customHeight="true" outlineLevel="0" collapsed="false">
      <c r="A21" s="9" t="s">
        <v>88</v>
      </c>
      <c r="B21" s="9" t="s">
        <v>89</v>
      </c>
      <c r="C21" s="9" t="s">
        <v>65</v>
      </c>
      <c r="D21" s="9" t="s">
        <v>90</v>
      </c>
      <c r="E21" s="10" t="n">
        <v>45</v>
      </c>
      <c r="F21" s="11" t="n">
        <v>0</v>
      </c>
      <c r="G21" s="11" t="n">
        <v>0</v>
      </c>
      <c r="H21" s="11" t="n">
        <v>0</v>
      </c>
      <c r="I21" s="11" t="n">
        <v>0</v>
      </c>
      <c r="J21" s="12" t="n">
        <f aca="false">SUM(F21:I21)</f>
        <v>0</v>
      </c>
      <c r="K21" s="13" t="s">
        <v>91</v>
      </c>
    </row>
    <row r="22" customFormat="false" ht="39.75" hidden="false" customHeight="true" outlineLevel="0" collapsed="false">
      <c r="A22" s="9" t="s">
        <v>92</v>
      </c>
      <c r="B22" s="9" t="s">
        <v>93</v>
      </c>
      <c r="C22" s="9" t="s">
        <v>94</v>
      </c>
      <c r="D22" s="9" t="s">
        <v>70</v>
      </c>
      <c r="E22" s="10" t="n">
        <v>4</v>
      </c>
      <c r="F22" s="11" t="n">
        <v>0</v>
      </c>
      <c r="G22" s="11" t="n">
        <v>0</v>
      </c>
      <c r="H22" s="11" t="n">
        <v>0</v>
      </c>
      <c r="I22" s="11" t="n">
        <v>0</v>
      </c>
      <c r="J22" s="12" t="n">
        <f aca="false">SUM(F22:I22)</f>
        <v>0</v>
      </c>
      <c r="K22" s="13" t="s">
        <v>95</v>
      </c>
    </row>
    <row r="23" customFormat="false" ht="39.75" hidden="false" customHeight="true" outlineLevel="0" collapsed="false">
      <c r="A23" s="9" t="s">
        <v>96</v>
      </c>
      <c r="B23" s="9" t="s">
        <v>97</v>
      </c>
      <c r="C23" s="9" t="s">
        <v>65</v>
      </c>
      <c r="D23" s="9" t="s">
        <v>70</v>
      </c>
      <c r="E23" s="10" t="n">
        <v>1423</v>
      </c>
      <c r="F23" s="11" t="n">
        <v>0</v>
      </c>
      <c r="G23" s="11" t="n">
        <v>0</v>
      </c>
      <c r="H23" s="11" t="n">
        <v>0</v>
      </c>
      <c r="I23" s="11" t="n">
        <v>0</v>
      </c>
      <c r="J23" s="12" t="n">
        <f aca="false">SUM(F23:I23)</f>
        <v>0</v>
      </c>
      <c r="K23" s="13" t="s">
        <v>98</v>
      </c>
    </row>
    <row r="24" customFormat="false" ht="39.75" hidden="false" customHeight="true" outlineLevel="0" collapsed="false">
      <c r="A24" s="9" t="s">
        <v>99</v>
      </c>
      <c r="B24" s="9" t="s">
        <v>100</v>
      </c>
      <c r="C24" s="9" t="s">
        <v>78</v>
      </c>
      <c r="D24" s="9" t="s">
        <v>70</v>
      </c>
      <c r="E24" s="10" t="n">
        <v>6</v>
      </c>
      <c r="F24" s="11" t="n">
        <v>0</v>
      </c>
      <c r="G24" s="11" t="n">
        <v>0</v>
      </c>
      <c r="H24" s="11" t="n">
        <v>0</v>
      </c>
      <c r="I24" s="11" t="n">
        <v>0</v>
      </c>
      <c r="J24" s="12" t="n">
        <f aca="false">SUM(F24:I24)</f>
        <v>0</v>
      </c>
      <c r="K24" s="13" t="s">
        <v>101</v>
      </c>
    </row>
    <row r="25" customFormat="false" ht="15" hidden="false" customHeight="false" outlineLevel="0" collapsed="false">
      <c r="A25" s="1" t="s">
        <v>61</v>
      </c>
      <c r="F25" s="14" t="n">
        <f aca="false">SUM(F15:F24)</f>
        <v>-2808.17</v>
      </c>
      <c r="G25" s="14" t="n">
        <f aca="false">SUM(G15:G24)</f>
        <v>-68039.28</v>
      </c>
      <c r="H25" s="14" t="n">
        <f aca="false">SUM(H15:H24)</f>
        <v>-3042.22</v>
      </c>
      <c r="I25" s="14" t="n">
        <f aca="false">SUM(I15:I24)</f>
        <v>-9223.77</v>
      </c>
      <c r="J25" s="14" t="n">
        <f aca="false">SUM(J15:J24)</f>
        <v>-83113.44</v>
      </c>
    </row>
    <row r="27" customFormat="false" ht="15" hidden="false" customHeight="false" outlineLevel="0" collapsed="false">
      <c r="A27" s="2" t="s">
        <v>102</v>
      </c>
      <c r="F27" s="15" t="b">
        <f aca="false">ABS(SUM(Reconciliation!B67:E67)+SUM(Reconciliation!B70:E70)+J25-SUM(Reconciliation!B71:E71))&lt;0.01</f>
        <v>1</v>
      </c>
    </row>
    <row r="29" customFormat="false" ht="15" hidden="false" customHeight="false" outlineLevel="0" collapsed="false">
      <c r="A29" s="8" t="s">
        <v>103</v>
      </c>
    </row>
    <row r="30" customFormat="false" ht="15" hidden="false" customHeight="true" outlineLevel="0" collapsed="false">
      <c r="A30" s="6" t="s">
        <v>104</v>
      </c>
      <c r="B30" s="6"/>
      <c r="C30" s="6"/>
      <c r="D30" s="6"/>
      <c r="E30" s="6"/>
      <c r="F30" s="6"/>
      <c r="G30" s="6"/>
      <c r="H30" s="6"/>
      <c r="I30" s="6"/>
      <c r="J30" s="6"/>
      <c r="K30" s="6"/>
    </row>
    <row r="31" customFormat="false" ht="15" hidden="false" customHeight="true" outlineLevel="0" collapsed="false">
      <c r="A31" s="6" t="s">
        <v>105</v>
      </c>
      <c r="B31" s="6"/>
      <c r="C31" s="6"/>
      <c r="D31" s="6"/>
      <c r="E31" s="6"/>
      <c r="F31" s="6"/>
      <c r="G31" s="6"/>
      <c r="H31" s="6"/>
      <c r="I31" s="6"/>
      <c r="J31" s="6"/>
      <c r="K31" s="6"/>
    </row>
    <row r="32" customFormat="false" ht="15" hidden="false" customHeight="true" outlineLevel="0" collapsed="false">
      <c r="A32" s="6" t="s">
        <v>106</v>
      </c>
      <c r="B32" s="6"/>
      <c r="C32" s="6"/>
      <c r="D32" s="6"/>
      <c r="E32" s="6"/>
      <c r="F32" s="6"/>
      <c r="G32" s="6"/>
      <c r="H32" s="6"/>
      <c r="I32" s="6"/>
      <c r="J32" s="6"/>
      <c r="K32" s="6"/>
    </row>
    <row r="33" customFormat="false" ht="15" hidden="false" customHeight="true" outlineLevel="0" collapsed="false">
      <c r="A33" s="6" t="s">
        <v>107</v>
      </c>
      <c r="B33" s="6"/>
      <c r="C33" s="6"/>
      <c r="D33" s="6"/>
      <c r="E33" s="6"/>
      <c r="F33" s="6"/>
      <c r="G33" s="6"/>
      <c r="H33" s="6"/>
      <c r="I33" s="6"/>
      <c r="J33" s="6"/>
      <c r="K33" s="6"/>
    </row>
    <row r="34" customFormat="false" ht="15" hidden="false" customHeight="true" outlineLevel="0" collapsed="false">
      <c r="A34" s="6" t="s">
        <v>108</v>
      </c>
      <c r="B34" s="6"/>
      <c r="C34" s="6"/>
      <c r="D34" s="6"/>
      <c r="E34" s="6"/>
      <c r="F34" s="6"/>
      <c r="G34" s="6"/>
      <c r="H34" s="6"/>
      <c r="I34" s="6"/>
      <c r="J34" s="6"/>
      <c r="K34" s="6"/>
    </row>
  </sheetData>
  <mergeCells count="11">
    <mergeCell ref="B5:K5"/>
    <mergeCell ref="B6:K6"/>
    <mergeCell ref="B7:K7"/>
    <mergeCell ref="B8:K8"/>
    <mergeCell ref="B9:K9"/>
    <mergeCell ref="B10:K10"/>
    <mergeCell ref="A30:K30"/>
    <mergeCell ref="A31:K31"/>
    <mergeCell ref="A32:K32"/>
    <mergeCell ref="A33:K33"/>
    <mergeCell ref="A34:K34"/>
  </mergeCells>
  <hyperlinks>
    <hyperlink ref="B11" r:id="rId1" display="https://github.com/xbhxnxv/northbridge-buyside-diligence/blob/main/docs/metric_definitions.md"/>
  </hyperlinks>
  <printOptions headings="false" gridLines="false" gridLinesSet="true" horizontalCentered="fals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&amp;C&amp;A</oddHeader>
    <oddFooter>&amp;LProject Northbridge: DRAFT&amp;CPage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6" min="2" style="0" width="14"/>
    <col collapsed="false" customWidth="true" hidden="false" outlineLevel="0" max="7" min="7" style="0" width="11"/>
    <col collapsed="false" customWidth="true" hidden="false" outlineLevel="0" max="8" min="8" style="0" width="14"/>
    <col collapsed="false" customWidth="true" hidden="false" outlineLevel="0" max="9" min="9" style="0" width="12"/>
    <col collapsed="false" customWidth="true" hidden="false" outlineLevel="0" max="10" min="10" style="0" width="100"/>
  </cols>
  <sheetData>
    <row r="1" customFormat="false" ht="15" hidden="false" customHeight="false" outlineLevel="0" collapsed="false">
      <c r="A1" s="1" t="s">
        <v>109</v>
      </c>
    </row>
    <row r="2" customFormat="false" ht="15" hidden="false" customHeight="false" outlineLevel="0" collapsed="false">
      <c r="A2" s="2" t="s">
        <v>110</v>
      </c>
    </row>
    <row r="3" customFormat="false" ht="15" hidden="false" customHeight="false" outlineLevel="0" collapsed="false">
      <c r="A3" s="2" t="s">
        <v>111</v>
      </c>
    </row>
    <row r="5" customFormat="false" ht="15" hidden="false" customHeight="false" outlineLevel="0" collapsed="false">
      <c r="A5" s="8" t="s">
        <v>112</v>
      </c>
    </row>
    <row r="6" customFormat="false" ht="30" hidden="false" customHeight="true" outlineLevel="0" collapsed="false">
      <c r="A6" s="4" t="s">
        <v>113</v>
      </c>
      <c r="B6" s="4" t="s">
        <v>114</v>
      </c>
      <c r="C6" s="4" t="s">
        <v>115</v>
      </c>
      <c r="D6" s="4" t="s">
        <v>116</v>
      </c>
      <c r="E6" s="4" t="s">
        <v>117</v>
      </c>
      <c r="F6" s="4" t="s">
        <v>118</v>
      </c>
      <c r="G6" s="4" t="s">
        <v>119</v>
      </c>
      <c r="H6" s="4" t="s">
        <v>120</v>
      </c>
      <c r="I6" s="4" t="s">
        <v>121</v>
      </c>
      <c r="J6" s="4" t="s">
        <v>122</v>
      </c>
    </row>
    <row r="7" customFormat="false" ht="15" hidden="false" customHeight="false" outlineLevel="0" collapsed="false">
      <c r="A7" s="16" t="n">
        <v>44562</v>
      </c>
      <c r="B7" s="17" t="n">
        <f aca="false">YEAR(A7)</f>
        <v>2022</v>
      </c>
      <c r="C7" s="11" t="n">
        <v>2244374.48</v>
      </c>
      <c r="D7" s="11" t="n">
        <v>2244374.48</v>
      </c>
      <c r="E7" s="11" t="n">
        <v>2244374.48</v>
      </c>
      <c r="F7" s="18" t="n">
        <f aca="false">E7-C7</f>
        <v>0</v>
      </c>
      <c r="G7" s="19" t="n">
        <f aca="false">IF(C7=0,0,F7/C7)</f>
        <v>0</v>
      </c>
      <c r="H7" s="18" t="n">
        <f aca="false">E7-D7</f>
        <v>0</v>
      </c>
      <c r="I7" s="9" t="s">
        <v>123</v>
      </c>
      <c r="J7" s="9"/>
    </row>
    <row r="8" customFormat="false" ht="15" hidden="false" customHeight="false" outlineLevel="0" collapsed="false">
      <c r="A8" s="16" t="n">
        <v>44593</v>
      </c>
      <c r="B8" s="17" t="n">
        <f aca="false">YEAR(A8)</f>
        <v>2022</v>
      </c>
      <c r="C8" s="11" t="n">
        <v>2213487.89</v>
      </c>
      <c r="D8" s="11" t="n">
        <v>2213487.89</v>
      </c>
      <c r="E8" s="11" t="n">
        <v>2213487.89</v>
      </c>
      <c r="F8" s="18" t="n">
        <f aca="false">E8-C8</f>
        <v>0</v>
      </c>
      <c r="G8" s="19" t="n">
        <f aca="false">IF(C8=0,0,F8/C8)</f>
        <v>0</v>
      </c>
      <c r="H8" s="18" t="n">
        <f aca="false">E8-D8</f>
        <v>0</v>
      </c>
      <c r="I8" s="9" t="s">
        <v>123</v>
      </c>
      <c r="J8" s="9"/>
    </row>
    <row r="9" customFormat="false" ht="15" hidden="false" customHeight="false" outlineLevel="0" collapsed="false">
      <c r="A9" s="16" t="n">
        <v>44621</v>
      </c>
      <c r="B9" s="17" t="n">
        <f aca="false">YEAR(A9)</f>
        <v>2022</v>
      </c>
      <c r="C9" s="11" t="n">
        <v>2249417.71</v>
      </c>
      <c r="D9" s="11" t="n">
        <v>2249417.71</v>
      </c>
      <c r="E9" s="11" t="n">
        <v>2249417.71</v>
      </c>
      <c r="F9" s="18" t="n">
        <f aca="false">E9-C9</f>
        <v>0</v>
      </c>
      <c r="G9" s="19" t="n">
        <f aca="false">IF(C9=0,0,F9/C9)</f>
        <v>0</v>
      </c>
      <c r="H9" s="18" t="n">
        <f aca="false">E9-D9</f>
        <v>0</v>
      </c>
      <c r="I9" s="9" t="s">
        <v>124</v>
      </c>
      <c r="J9" s="9" t="s">
        <v>125</v>
      </c>
    </row>
    <row r="10" customFormat="false" ht="15" hidden="false" customHeight="false" outlineLevel="0" collapsed="false">
      <c r="A10" s="16" t="n">
        <v>44652</v>
      </c>
      <c r="B10" s="17" t="n">
        <f aca="false">YEAR(A10)</f>
        <v>2022</v>
      </c>
      <c r="C10" s="11" t="n">
        <v>2327025.28</v>
      </c>
      <c r="D10" s="11" t="n">
        <v>2327025.28</v>
      </c>
      <c r="E10" s="11" t="n">
        <v>2327025.28</v>
      </c>
      <c r="F10" s="18" t="n">
        <f aca="false">E10-C10</f>
        <v>0</v>
      </c>
      <c r="G10" s="19" t="n">
        <f aca="false">IF(C10=0,0,F10/C10)</f>
        <v>0</v>
      </c>
      <c r="H10" s="18" t="n">
        <f aca="false">E10-D10</f>
        <v>0</v>
      </c>
      <c r="I10" s="9" t="s">
        <v>124</v>
      </c>
      <c r="J10" s="9" t="s">
        <v>126</v>
      </c>
    </row>
    <row r="11" customFormat="false" ht="15" hidden="false" customHeight="false" outlineLevel="0" collapsed="false">
      <c r="A11" s="16" t="n">
        <v>44682</v>
      </c>
      <c r="B11" s="17" t="n">
        <f aca="false">YEAR(A11)</f>
        <v>2022</v>
      </c>
      <c r="C11" s="11" t="n">
        <v>2326968.59</v>
      </c>
      <c r="D11" s="11" t="n">
        <v>2326968.59</v>
      </c>
      <c r="E11" s="11" t="n">
        <v>2326968.59</v>
      </c>
      <c r="F11" s="18" t="n">
        <f aca="false">E11-C11</f>
        <v>0</v>
      </c>
      <c r="G11" s="19" t="n">
        <f aca="false">IF(C11=0,0,F11/C11)</f>
        <v>0</v>
      </c>
      <c r="H11" s="18" t="n">
        <f aca="false">E11-D11</f>
        <v>0</v>
      </c>
      <c r="I11" s="9" t="s">
        <v>123</v>
      </c>
      <c r="J11" s="9"/>
    </row>
    <row r="12" customFormat="false" ht="15" hidden="false" customHeight="false" outlineLevel="0" collapsed="false">
      <c r="A12" s="16" t="n">
        <v>44713</v>
      </c>
      <c r="B12" s="17" t="n">
        <f aca="false">YEAR(A12)</f>
        <v>2022</v>
      </c>
      <c r="C12" s="11" t="n">
        <v>2381907.21</v>
      </c>
      <c r="D12" s="11" t="n">
        <v>2381907.21</v>
      </c>
      <c r="E12" s="11" t="n">
        <v>2381907.21</v>
      </c>
      <c r="F12" s="18" t="n">
        <f aca="false">E12-C12</f>
        <v>0</v>
      </c>
      <c r="G12" s="19" t="n">
        <f aca="false">IF(C12=0,0,F12/C12)</f>
        <v>0</v>
      </c>
      <c r="H12" s="18" t="n">
        <f aca="false">E12-D12</f>
        <v>0</v>
      </c>
      <c r="I12" s="9" t="s">
        <v>123</v>
      </c>
      <c r="J12" s="9"/>
    </row>
    <row r="13" customFormat="false" ht="15" hidden="false" customHeight="false" outlineLevel="0" collapsed="false">
      <c r="A13" s="16" t="n">
        <v>44743</v>
      </c>
      <c r="B13" s="17" t="n">
        <f aca="false">YEAR(A13)</f>
        <v>2022</v>
      </c>
      <c r="C13" s="11" t="n">
        <v>2392021.5</v>
      </c>
      <c r="D13" s="11" t="n">
        <v>2392021.5</v>
      </c>
      <c r="E13" s="11" t="n">
        <v>2392021.5</v>
      </c>
      <c r="F13" s="18" t="n">
        <f aca="false">E13-C13</f>
        <v>0</v>
      </c>
      <c r="G13" s="19" t="n">
        <f aca="false">IF(C13=0,0,F13/C13)</f>
        <v>0</v>
      </c>
      <c r="H13" s="18" t="n">
        <f aca="false">E13-D13</f>
        <v>0</v>
      </c>
      <c r="I13" s="9" t="s">
        <v>124</v>
      </c>
      <c r="J13" s="9" t="s">
        <v>127</v>
      </c>
    </row>
    <row r="14" customFormat="false" ht="15" hidden="false" customHeight="false" outlineLevel="0" collapsed="false">
      <c r="A14" s="16" t="n">
        <v>44774</v>
      </c>
      <c r="B14" s="17" t="n">
        <f aca="false">YEAR(A14)</f>
        <v>2022</v>
      </c>
      <c r="C14" s="11" t="n">
        <v>2365378.06</v>
      </c>
      <c r="D14" s="11" t="n">
        <v>2365378.06</v>
      </c>
      <c r="E14" s="11" t="n">
        <v>2365378.06</v>
      </c>
      <c r="F14" s="18" t="n">
        <f aca="false">E14-C14</f>
        <v>0</v>
      </c>
      <c r="G14" s="19" t="n">
        <f aca="false">IF(C14=0,0,F14/C14)</f>
        <v>0</v>
      </c>
      <c r="H14" s="18" t="n">
        <f aca="false">E14-D14</f>
        <v>0</v>
      </c>
      <c r="I14" s="9" t="s">
        <v>123</v>
      </c>
      <c r="J14" s="9"/>
    </row>
    <row r="15" customFormat="false" ht="15" hidden="false" customHeight="false" outlineLevel="0" collapsed="false">
      <c r="A15" s="16" t="n">
        <v>44805</v>
      </c>
      <c r="B15" s="17" t="n">
        <f aca="false">YEAR(A15)</f>
        <v>2022</v>
      </c>
      <c r="C15" s="11" t="n">
        <v>2404716.28</v>
      </c>
      <c r="D15" s="11" t="n">
        <v>2404716.28</v>
      </c>
      <c r="E15" s="11" t="n">
        <v>2404716.28</v>
      </c>
      <c r="F15" s="18" t="n">
        <f aca="false">E15-C15</f>
        <v>0</v>
      </c>
      <c r="G15" s="19" t="n">
        <f aca="false">IF(C15=0,0,F15/C15)</f>
        <v>0</v>
      </c>
      <c r="H15" s="18" t="n">
        <f aca="false">E15-D15</f>
        <v>0</v>
      </c>
      <c r="I15" s="9" t="s">
        <v>124</v>
      </c>
      <c r="J15" s="9" t="s">
        <v>128</v>
      </c>
    </row>
    <row r="16" customFormat="false" ht="15" hidden="false" customHeight="false" outlineLevel="0" collapsed="false">
      <c r="A16" s="16" t="n">
        <v>44835</v>
      </c>
      <c r="B16" s="17" t="n">
        <f aca="false">YEAR(A16)</f>
        <v>2022</v>
      </c>
      <c r="C16" s="11" t="n">
        <v>2395581.81</v>
      </c>
      <c r="D16" s="11" t="n">
        <v>2395581.81</v>
      </c>
      <c r="E16" s="11" t="n">
        <v>2395581.81</v>
      </c>
      <c r="F16" s="18" t="n">
        <f aca="false">E16-C16</f>
        <v>0</v>
      </c>
      <c r="G16" s="19" t="n">
        <f aca="false">IF(C16=0,0,F16/C16)</f>
        <v>0</v>
      </c>
      <c r="H16" s="18" t="n">
        <f aca="false">E16-D16</f>
        <v>0</v>
      </c>
      <c r="I16" s="9" t="s">
        <v>123</v>
      </c>
      <c r="J16" s="9"/>
    </row>
    <row r="17" customFormat="false" ht="15" hidden="false" customHeight="false" outlineLevel="0" collapsed="false">
      <c r="A17" s="16" t="n">
        <v>44866</v>
      </c>
      <c r="B17" s="17" t="n">
        <f aca="false">YEAR(A17)</f>
        <v>2022</v>
      </c>
      <c r="C17" s="11" t="n">
        <v>2430858.58</v>
      </c>
      <c r="D17" s="11" t="n">
        <v>2430858.58</v>
      </c>
      <c r="E17" s="11" t="n">
        <v>2430858.58</v>
      </c>
      <c r="F17" s="18" t="n">
        <f aca="false">E17-C17</f>
        <v>0</v>
      </c>
      <c r="G17" s="19" t="n">
        <f aca="false">IF(C17=0,0,F17/C17)</f>
        <v>0</v>
      </c>
      <c r="H17" s="18" t="n">
        <f aca="false">E17-D17</f>
        <v>0</v>
      </c>
      <c r="I17" s="9" t="s">
        <v>123</v>
      </c>
      <c r="J17" s="9"/>
    </row>
    <row r="18" customFormat="false" ht="15" hidden="false" customHeight="false" outlineLevel="0" collapsed="false">
      <c r="A18" s="16" t="n">
        <v>44896</v>
      </c>
      <c r="B18" s="17" t="n">
        <f aca="false">YEAR(A18)</f>
        <v>2022</v>
      </c>
      <c r="C18" s="11" t="n">
        <v>2500414.25</v>
      </c>
      <c r="D18" s="11" t="n">
        <v>2500414.25</v>
      </c>
      <c r="E18" s="11" t="n">
        <v>2500414.25</v>
      </c>
      <c r="F18" s="18" t="n">
        <f aca="false">E18-C18</f>
        <v>0</v>
      </c>
      <c r="G18" s="19" t="n">
        <f aca="false">IF(C18=0,0,F18/C18)</f>
        <v>0</v>
      </c>
      <c r="H18" s="18" t="n">
        <f aca="false">E18-D18</f>
        <v>0</v>
      </c>
      <c r="I18" s="9" t="s">
        <v>123</v>
      </c>
      <c r="J18" s="9"/>
    </row>
    <row r="19" customFormat="false" ht="15" hidden="false" customHeight="false" outlineLevel="0" collapsed="false">
      <c r="A19" s="16" t="n">
        <v>44927</v>
      </c>
      <c r="B19" s="17" t="n">
        <f aca="false">YEAR(A19)</f>
        <v>2023</v>
      </c>
      <c r="C19" s="11" t="n">
        <v>2553770.31</v>
      </c>
      <c r="D19" s="11" t="n">
        <v>2553770.31</v>
      </c>
      <c r="E19" s="11" t="n">
        <v>2553770.31</v>
      </c>
      <c r="F19" s="18" t="n">
        <f aca="false">E19-C19</f>
        <v>0</v>
      </c>
      <c r="G19" s="19" t="n">
        <f aca="false">IF(C19=0,0,F19/C19)</f>
        <v>0</v>
      </c>
      <c r="H19" s="18" t="n">
        <f aca="false">E19-D19</f>
        <v>0</v>
      </c>
      <c r="I19" s="9" t="s">
        <v>124</v>
      </c>
      <c r="J19" s="9" t="s">
        <v>129</v>
      </c>
    </row>
    <row r="20" customFormat="false" ht="15" hidden="false" customHeight="false" outlineLevel="0" collapsed="false">
      <c r="A20" s="16" t="n">
        <v>44958</v>
      </c>
      <c r="B20" s="17" t="n">
        <f aca="false">YEAR(A20)</f>
        <v>2023</v>
      </c>
      <c r="C20" s="11" t="n">
        <v>2615992.01</v>
      </c>
      <c r="D20" s="11" t="n">
        <v>2615992.01</v>
      </c>
      <c r="E20" s="11" t="n">
        <v>2615992.01</v>
      </c>
      <c r="F20" s="18" t="n">
        <f aca="false">E20-C20</f>
        <v>0</v>
      </c>
      <c r="G20" s="19" t="n">
        <f aca="false">IF(C20=0,0,F20/C20)</f>
        <v>0</v>
      </c>
      <c r="H20" s="18" t="n">
        <f aca="false">E20-D20</f>
        <v>0</v>
      </c>
      <c r="I20" s="9" t="s">
        <v>123</v>
      </c>
      <c r="J20" s="9"/>
    </row>
    <row r="21" customFormat="false" ht="15" hidden="false" customHeight="false" outlineLevel="0" collapsed="false">
      <c r="A21" s="16" t="n">
        <v>44986</v>
      </c>
      <c r="B21" s="17" t="n">
        <f aca="false">YEAR(A21)</f>
        <v>2023</v>
      </c>
      <c r="C21" s="11" t="n">
        <v>2579603.18</v>
      </c>
      <c r="D21" s="11" t="n">
        <v>2579603.18</v>
      </c>
      <c r="E21" s="11" t="n">
        <v>2579603.18</v>
      </c>
      <c r="F21" s="18" t="n">
        <f aca="false">E21-C21</f>
        <v>0</v>
      </c>
      <c r="G21" s="19" t="n">
        <f aca="false">IF(C21=0,0,F21/C21)</f>
        <v>0</v>
      </c>
      <c r="H21" s="18" t="n">
        <f aca="false">E21-D21</f>
        <v>0</v>
      </c>
      <c r="I21" s="9" t="s">
        <v>123</v>
      </c>
      <c r="J21" s="9"/>
    </row>
    <row r="22" customFormat="false" ht="15" hidden="false" customHeight="false" outlineLevel="0" collapsed="false">
      <c r="A22" s="16" t="n">
        <v>45017</v>
      </c>
      <c r="B22" s="17" t="n">
        <f aca="false">YEAR(A22)</f>
        <v>2023</v>
      </c>
      <c r="C22" s="11" t="n">
        <v>2597741.68</v>
      </c>
      <c r="D22" s="11" t="n">
        <v>2597741.68</v>
      </c>
      <c r="E22" s="11" t="n">
        <v>2597741.68</v>
      </c>
      <c r="F22" s="18" t="n">
        <f aca="false">E22-C22</f>
        <v>0</v>
      </c>
      <c r="G22" s="19" t="n">
        <f aca="false">IF(C22=0,0,F22/C22)</f>
        <v>0</v>
      </c>
      <c r="H22" s="18" t="n">
        <f aca="false">E22-D22</f>
        <v>0</v>
      </c>
      <c r="I22" s="9" t="s">
        <v>123</v>
      </c>
      <c r="J22" s="9"/>
    </row>
    <row r="23" customFormat="false" ht="15" hidden="false" customHeight="false" outlineLevel="0" collapsed="false">
      <c r="A23" s="16" t="n">
        <v>45047</v>
      </c>
      <c r="B23" s="17" t="n">
        <f aca="false">YEAR(A23)</f>
        <v>2023</v>
      </c>
      <c r="C23" s="11" t="n">
        <v>2696935.59</v>
      </c>
      <c r="D23" s="11" t="n">
        <v>2696935.59</v>
      </c>
      <c r="E23" s="11" t="n">
        <v>2696935.59</v>
      </c>
      <c r="F23" s="18" t="n">
        <f aca="false">E23-C23</f>
        <v>0</v>
      </c>
      <c r="G23" s="19" t="n">
        <f aca="false">IF(C23=0,0,F23/C23)</f>
        <v>0</v>
      </c>
      <c r="H23" s="18" t="n">
        <f aca="false">E23-D23</f>
        <v>0</v>
      </c>
      <c r="I23" s="9" t="s">
        <v>123</v>
      </c>
      <c r="J23" s="9"/>
    </row>
    <row r="24" customFormat="false" ht="15" hidden="false" customHeight="false" outlineLevel="0" collapsed="false">
      <c r="A24" s="16" t="n">
        <v>45078</v>
      </c>
      <c r="B24" s="17" t="n">
        <f aca="false">YEAR(A24)</f>
        <v>2023</v>
      </c>
      <c r="C24" s="11" t="n">
        <v>2716929.59</v>
      </c>
      <c r="D24" s="11" t="n">
        <v>2735429.59</v>
      </c>
      <c r="E24" s="11" t="n">
        <v>2735429.59</v>
      </c>
      <c r="F24" s="18" t="n">
        <f aca="false">E24-C24</f>
        <v>18500</v>
      </c>
      <c r="G24" s="19" t="n">
        <f aca="false">IF(C24=0,0,F24/C24)</f>
        <v>0.00680915694984941</v>
      </c>
      <c r="H24" s="18" t="n">
        <f aca="false">E24-D24</f>
        <v>0</v>
      </c>
      <c r="I24" s="9" t="s">
        <v>130</v>
      </c>
      <c r="J24" s="9" t="s">
        <v>131</v>
      </c>
    </row>
    <row r="25" customFormat="false" ht="15" hidden="false" customHeight="false" outlineLevel="0" collapsed="false">
      <c r="A25" s="16" t="n">
        <v>45108</v>
      </c>
      <c r="B25" s="17" t="n">
        <f aca="false">YEAR(A25)</f>
        <v>2023</v>
      </c>
      <c r="C25" s="11" t="n">
        <v>2681733.32</v>
      </c>
      <c r="D25" s="11" t="n">
        <v>2681733.32</v>
      </c>
      <c r="E25" s="11" t="n">
        <v>2681733.32</v>
      </c>
      <c r="F25" s="18" t="n">
        <f aca="false">E25-C25</f>
        <v>0</v>
      </c>
      <c r="G25" s="19" t="n">
        <f aca="false">IF(C25=0,0,F25/C25)</f>
        <v>0</v>
      </c>
      <c r="H25" s="18" t="n">
        <f aca="false">E25-D25</f>
        <v>0</v>
      </c>
      <c r="I25" s="9" t="s">
        <v>124</v>
      </c>
      <c r="J25" s="9" t="s">
        <v>132</v>
      </c>
    </row>
    <row r="26" customFormat="false" ht="15" hidden="false" customHeight="false" outlineLevel="0" collapsed="false">
      <c r="A26" s="16" t="n">
        <v>45139</v>
      </c>
      <c r="B26" s="17" t="n">
        <f aca="false">YEAR(A26)</f>
        <v>2023</v>
      </c>
      <c r="C26" s="11" t="n">
        <v>2720774.17</v>
      </c>
      <c r="D26" s="11" t="n">
        <v>2720774.17</v>
      </c>
      <c r="E26" s="11" t="n">
        <v>2720774.17</v>
      </c>
      <c r="F26" s="18" t="n">
        <f aca="false">E26-C26</f>
        <v>0</v>
      </c>
      <c r="G26" s="19" t="n">
        <f aca="false">IF(C26=0,0,F26/C26)</f>
        <v>0</v>
      </c>
      <c r="H26" s="18" t="n">
        <f aca="false">E26-D26</f>
        <v>0</v>
      </c>
      <c r="I26" s="9" t="s">
        <v>123</v>
      </c>
      <c r="J26" s="9"/>
    </row>
    <row r="27" customFormat="false" ht="15" hidden="false" customHeight="false" outlineLevel="0" collapsed="false">
      <c r="A27" s="16" t="n">
        <v>45170</v>
      </c>
      <c r="B27" s="17" t="n">
        <f aca="false">YEAR(A27)</f>
        <v>2023</v>
      </c>
      <c r="C27" s="11" t="n">
        <v>2699117.96</v>
      </c>
      <c r="D27" s="11" t="n">
        <v>2699117.96</v>
      </c>
      <c r="E27" s="11" t="n">
        <v>2699117.96</v>
      </c>
      <c r="F27" s="18" t="n">
        <f aca="false">E27-C27</f>
        <v>0</v>
      </c>
      <c r="G27" s="19" t="n">
        <f aca="false">IF(C27=0,0,F27/C27)</f>
        <v>0</v>
      </c>
      <c r="H27" s="18" t="n">
        <f aca="false">E27-D27</f>
        <v>0</v>
      </c>
      <c r="I27" s="9" t="s">
        <v>123</v>
      </c>
      <c r="J27" s="9"/>
    </row>
    <row r="28" customFormat="false" ht="15" hidden="false" customHeight="false" outlineLevel="0" collapsed="false">
      <c r="A28" s="16" t="n">
        <v>45200</v>
      </c>
      <c r="B28" s="17" t="n">
        <f aca="false">YEAR(A28)</f>
        <v>2023</v>
      </c>
      <c r="C28" s="11" t="n">
        <v>2733902.33</v>
      </c>
      <c r="D28" s="11" t="n">
        <v>2733902.33</v>
      </c>
      <c r="E28" s="11" t="n">
        <v>2733902.33</v>
      </c>
      <c r="F28" s="18" t="n">
        <f aca="false">E28-C28</f>
        <v>0</v>
      </c>
      <c r="G28" s="19" t="n">
        <f aca="false">IF(C28=0,0,F28/C28)</f>
        <v>0</v>
      </c>
      <c r="H28" s="18" t="n">
        <f aca="false">E28-D28</f>
        <v>0</v>
      </c>
      <c r="I28" s="9" t="s">
        <v>123</v>
      </c>
      <c r="J28" s="9"/>
    </row>
    <row r="29" customFormat="false" ht="15" hidden="false" customHeight="false" outlineLevel="0" collapsed="false">
      <c r="A29" s="16" t="n">
        <v>45231</v>
      </c>
      <c r="B29" s="17" t="n">
        <f aca="false">YEAR(A29)</f>
        <v>2023</v>
      </c>
      <c r="C29" s="11" t="n">
        <v>2790949.54</v>
      </c>
      <c r="D29" s="11" t="n">
        <v>2790949.54</v>
      </c>
      <c r="E29" s="11" t="n">
        <v>2790949.54</v>
      </c>
      <c r="F29" s="18" t="n">
        <f aca="false">E29-C29</f>
        <v>0</v>
      </c>
      <c r="G29" s="19" t="n">
        <f aca="false">IF(C29=0,0,F29/C29)</f>
        <v>0</v>
      </c>
      <c r="H29" s="18" t="n">
        <f aca="false">E29-D29</f>
        <v>0</v>
      </c>
      <c r="I29" s="9" t="s">
        <v>123</v>
      </c>
      <c r="J29" s="9"/>
    </row>
    <row r="30" customFormat="false" ht="15" hidden="false" customHeight="false" outlineLevel="0" collapsed="false">
      <c r="A30" s="16" t="n">
        <v>45261</v>
      </c>
      <c r="B30" s="17" t="n">
        <f aca="false">YEAR(A30)</f>
        <v>2023</v>
      </c>
      <c r="C30" s="11" t="n">
        <v>2786920.27</v>
      </c>
      <c r="D30" s="11" t="n">
        <v>2786920.27</v>
      </c>
      <c r="E30" s="11" t="n">
        <v>2786920.27</v>
      </c>
      <c r="F30" s="18" t="n">
        <f aca="false">E30-C30</f>
        <v>0</v>
      </c>
      <c r="G30" s="19" t="n">
        <f aca="false">IF(C30=0,0,F30/C30)</f>
        <v>0</v>
      </c>
      <c r="H30" s="18" t="n">
        <f aca="false">E30-D30</f>
        <v>0</v>
      </c>
      <c r="I30" s="9" t="s">
        <v>123</v>
      </c>
      <c r="J30" s="9"/>
    </row>
    <row r="31" customFormat="false" ht="15" hidden="false" customHeight="false" outlineLevel="0" collapsed="false">
      <c r="A31" s="16" t="n">
        <v>45292</v>
      </c>
      <c r="B31" s="17" t="n">
        <f aca="false">YEAR(A31)</f>
        <v>2024</v>
      </c>
      <c r="C31" s="11" t="n">
        <v>2936380.17</v>
      </c>
      <c r="D31" s="11" t="n">
        <v>2936380.17</v>
      </c>
      <c r="E31" s="11" t="n">
        <v>2936380.17</v>
      </c>
      <c r="F31" s="18" t="n">
        <f aca="false">E31-C31</f>
        <v>0</v>
      </c>
      <c r="G31" s="19" t="n">
        <f aca="false">IF(C31=0,0,F31/C31)</f>
        <v>0</v>
      </c>
      <c r="H31" s="18" t="n">
        <f aca="false">E31-D31</f>
        <v>0</v>
      </c>
      <c r="I31" s="9" t="s">
        <v>123</v>
      </c>
      <c r="J31" s="9"/>
    </row>
    <row r="32" customFormat="false" ht="15" hidden="false" customHeight="false" outlineLevel="0" collapsed="false">
      <c r="A32" s="16" t="n">
        <v>45323</v>
      </c>
      <c r="B32" s="17" t="n">
        <f aca="false">YEAR(A32)</f>
        <v>2024</v>
      </c>
      <c r="C32" s="11" t="n">
        <v>3006142.69</v>
      </c>
      <c r="D32" s="11" t="n">
        <v>3006142.69</v>
      </c>
      <c r="E32" s="11" t="n">
        <v>3006142.69</v>
      </c>
      <c r="F32" s="18" t="n">
        <f aca="false">E32-C32</f>
        <v>0</v>
      </c>
      <c r="G32" s="19" t="n">
        <f aca="false">IF(C32=0,0,F32/C32)</f>
        <v>0</v>
      </c>
      <c r="H32" s="18" t="n">
        <f aca="false">E32-D32</f>
        <v>0</v>
      </c>
      <c r="I32" s="9" t="s">
        <v>123</v>
      </c>
      <c r="J32" s="9"/>
    </row>
    <row r="33" customFormat="false" ht="15" hidden="false" customHeight="false" outlineLevel="0" collapsed="false">
      <c r="A33" s="16" t="n">
        <v>45352</v>
      </c>
      <c r="B33" s="17" t="n">
        <f aca="false">YEAR(A33)</f>
        <v>2024</v>
      </c>
      <c r="C33" s="11" t="n">
        <v>3051622.66</v>
      </c>
      <c r="D33" s="11" t="n">
        <v>3039622.66</v>
      </c>
      <c r="E33" s="11" t="n">
        <v>3039622.66</v>
      </c>
      <c r="F33" s="18" t="n">
        <f aca="false">E33-C33</f>
        <v>-12000</v>
      </c>
      <c r="G33" s="19" t="n">
        <f aca="false">IF(C33=0,0,F33/C33)</f>
        <v>-0.0039323341503828</v>
      </c>
      <c r="H33" s="18" t="n">
        <f aca="false">E33-D33</f>
        <v>0</v>
      </c>
      <c r="I33" s="9" t="s">
        <v>130</v>
      </c>
      <c r="J33" s="9" t="s">
        <v>133</v>
      </c>
    </row>
    <row r="34" customFormat="false" ht="15" hidden="false" customHeight="false" outlineLevel="0" collapsed="false">
      <c r="A34" s="16" t="n">
        <v>45383</v>
      </c>
      <c r="B34" s="17" t="n">
        <f aca="false">YEAR(A34)</f>
        <v>2024</v>
      </c>
      <c r="C34" s="11" t="n">
        <v>3083644.32</v>
      </c>
      <c r="D34" s="11" t="n">
        <v>3083644.32</v>
      </c>
      <c r="E34" s="11" t="n">
        <v>3083644.32</v>
      </c>
      <c r="F34" s="18" t="n">
        <f aca="false">E34-C34</f>
        <v>0</v>
      </c>
      <c r="G34" s="19" t="n">
        <f aca="false">IF(C34=0,0,F34/C34)</f>
        <v>0</v>
      </c>
      <c r="H34" s="18" t="n">
        <f aca="false">E34-D34</f>
        <v>0</v>
      </c>
      <c r="I34" s="9" t="s">
        <v>124</v>
      </c>
      <c r="J34" s="9" t="s">
        <v>134</v>
      </c>
    </row>
    <row r="35" customFormat="false" ht="15" hidden="false" customHeight="false" outlineLevel="0" collapsed="false">
      <c r="A35" s="16" t="n">
        <v>45413</v>
      </c>
      <c r="B35" s="17" t="n">
        <f aca="false">YEAR(A35)</f>
        <v>2024</v>
      </c>
      <c r="C35" s="11" t="n">
        <v>3078701.34</v>
      </c>
      <c r="D35" s="11" t="n">
        <v>3078701.34</v>
      </c>
      <c r="E35" s="11" t="n">
        <v>3078701.34</v>
      </c>
      <c r="F35" s="18" t="n">
        <f aca="false">E35-C35</f>
        <v>0</v>
      </c>
      <c r="G35" s="19" t="n">
        <f aca="false">IF(C35=0,0,F35/C35)</f>
        <v>0</v>
      </c>
      <c r="H35" s="18" t="n">
        <f aca="false">E35-D35</f>
        <v>0</v>
      </c>
      <c r="I35" s="9" t="s">
        <v>124</v>
      </c>
      <c r="J35" s="9" t="s">
        <v>135</v>
      </c>
    </row>
    <row r="36" customFormat="false" ht="15" hidden="false" customHeight="false" outlineLevel="0" collapsed="false">
      <c r="A36" s="16" t="n">
        <v>45444</v>
      </c>
      <c r="B36" s="17" t="n">
        <f aca="false">YEAR(A36)</f>
        <v>2024</v>
      </c>
      <c r="C36" s="11" t="n">
        <v>3217773.75</v>
      </c>
      <c r="D36" s="11" t="n">
        <v>3217773.75</v>
      </c>
      <c r="E36" s="11" t="n">
        <v>3217773.75</v>
      </c>
      <c r="F36" s="18" t="n">
        <f aca="false">E36-C36</f>
        <v>0</v>
      </c>
      <c r="G36" s="19" t="n">
        <f aca="false">IF(C36=0,0,F36/C36)</f>
        <v>0</v>
      </c>
      <c r="H36" s="18" t="n">
        <f aca="false">E36-D36</f>
        <v>0</v>
      </c>
      <c r="I36" s="9" t="s">
        <v>123</v>
      </c>
      <c r="J36" s="9"/>
    </row>
    <row r="37" customFormat="false" ht="15" hidden="false" customHeight="false" outlineLevel="0" collapsed="false">
      <c r="A37" s="16" t="n">
        <v>45474</v>
      </c>
      <c r="B37" s="17" t="n">
        <f aca="false">YEAR(A37)</f>
        <v>2024</v>
      </c>
      <c r="C37" s="11" t="n">
        <v>3132278.91</v>
      </c>
      <c r="D37" s="11" t="n">
        <v>3132278.91</v>
      </c>
      <c r="E37" s="11" t="n">
        <v>3132278.91</v>
      </c>
      <c r="F37" s="18" t="n">
        <f aca="false">E37-C37</f>
        <v>0</v>
      </c>
      <c r="G37" s="19" t="n">
        <f aca="false">IF(C37=0,0,F37/C37)</f>
        <v>0</v>
      </c>
      <c r="H37" s="18" t="n">
        <f aca="false">E37-D37</f>
        <v>0</v>
      </c>
      <c r="I37" s="9" t="s">
        <v>123</v>
      </c>
      <c r="J37" s="9"/>
    </row>
    <row r="38" customFormat="false" ht="15" hidden="false" customHeight="false" outlineLevel="0" collapsed="false">
      <c r="A38" s="16" t="n">
        <v>45505</v>
      </c>
      <c r="B38" s="17" t="n">
        <f aca="false">YEAR(A38)</f>
        <v>2024</v>
      </c>
      <c r="C38" s="11" t="n">
        <v>3118389.55</v>
      </c>
      <c r="D38" s="11" t="n">
        <v>3118389.55</v>
      </c>
      <c r="E38" s="11" t="n">
        <v>3118389.55</v>
      </c>
      <c r="F38" s="18" t="n">
        <f aca="false">E38-C38</f>
        <v>0</v>
      </c>
      <c r="G38" s="19" t="n">
        <f aca="false">IF(C38=0,0,F38/C38)</f>
        <v>0</v>
      </c>
      <c r="H38" s="18" t="n">
        <f aca="false">E38-D38</f>
        <v>0</v>
      </c>
      <c r="I38" s="9" t="s">
        <v>123</v>
      </c>
      <c r="J38" s="9"/>
    </row>
    <row r="39" customFormat="false" ht="15" hidden="false" customHeight="false" outlineLevel="0" collapsed="false">
      <c r="A39" s="16" t="n">
        <v>45536</v>
      </c>
      <c r="B39" s="17" t="n">
        <f aca="false">YEAR(A39)</f>
        <v>2024</v>
      </c>
      <c r="C39" s="11" t="n">
        <v>3118592.04</v>
      </c>
      <c r="D39" s="11" t="n">
        <v>3118592.04</v>
      </c>
      <c r="E39" s="11" t="n">
        <v>3118592.04</v>
      </c>
      <c r="F39" s="18" t="n">
        <f aca="false">E39-C39</f>
        <v>0</v>
      </c>
      <c r="G39" s="19" t="n">
        <f aca="false">IF(C39=0,0,F39/C39)</f>
        <v>0</v>
      </c>
      <c r="H39" s="18" t="n">
        <f aca="false">E39-D39</f>
        <v>0</v>
      </c>
      <c r="I39" s="9" t="s">
        <v>124</v>
      </c>
      <c r="J39" s="9" t="s">
        <v>136</v>
      </c>
    </row>
    <row r="40" customFormat="false" ht="15" hidden="false" customHeight="false" outlineLevel="0" collapsed="false">
      <c r="A40" s="16" t="n">
        <v>45566</v>
      </c>
      <c r="B40" s="17" t="n">
        <f aca="false">YEAR(A40)</f>
        <v>2024</v>
      </c>
      <c r="C40" s="11" t="n">
        <v>3167941.39</v>
      </c>
      <c r="D40" s="11" t="n">
        <v>3167941.39</v>
      </c>
      <c r="E40" s="11" t="n">
        <v>3167941.39</v>
      </c>
      <c r="F40" s="18" t="n">
        <f aca="false">E40-C40</f>
        <v>0</v>
      </c>
      <c r="G40" s="19" t="n">
        <f aca="false">IF(C40=0,0,F40/C40)</f>
        <v>0</v>
      </c>
      <c r="H40" s="18" t="n">
        <f aca="false">E40-D40</f>
        <v>0</v>
      </c>
      <c r="I40" s="9" t="s">
        <v>123</v>
      </c>
      <c r="J40" s="9"/>
    </row>
    <row r="41" customFormat="false" ht="15" hidden="false" customHeight="false" outlineLevel="0" collapsed="false">
      <c r="A41" s="16" t="n">
        <v>45597</v>
      </c>
      <c r="B41" s="17" t="n">
        <f aca="false">YEAR(A41)</f>
        <v>2024</v>
      </c>
      <c r="C41" s="11" t="n">
        <v>3190876.09</v>
      </c>
      <c r="D41" s="11" t="n">
        <v>3200376.09</v>
      </c>
      <c r="E41" s="11" t="n">
        <v>3200376.09</v>
      </c>
      <c r="F41" s="18" t="n">
        <f aca="false">E41-C41</f>
        <v>9500</v>
      </c>
      <c r="G41" s="19" t="n">
        <f aca="false">IF(C41=0,0,F41/C41)</f>
        <v>0.00297723876830328</v>
      </c>
      <c r="H41" s="18" t="n">
        <f aca="false">E41-D41</f>
        <v>0</v>
      </c>
      <c r="I41" s="9" t="s">
        <v>130</v>
      </c>
      <c r="J41" s="9" t="s">
        <v>137</v>
      </c>
    </row>
    <row r="42" customFormat="false" ht="15" hidden="false" customHeight="false" outlineLevel="0" collapsed="false">
      <c r="A42" s="16" t="n">
        <v>45627</v>
      </c>
      <c r="B42" s="17" t="n">
        <f aca="false">YEAR(A42)</f>
        <v>2024</v>
      </c>
      <c r="C42" s="11" t="n">
        <v>3159055.6</v>
      </c>
      <c r="D42" s="11" t="n">
        <v>3159055.6</v>
      </c>
      <c r="E42" s="11" t="n">
        <v>3159055.6</v>
      </c>
      <c r="F42" s="18" t="n">
        <f aca="false">E42-C42</f>
        <v>0</v>
      </c>
      <c r="G42" s="19" t="n">
        <f aca="false">IF(C42=0,0,F42/C42)</f>
        <v>0</v>
      </c>
      <c r="H42" s="18" t="n">
        <f aca="false">E42-D42</f>
        <v>0</v>
      </c>
      <c r="I42" s="9" t="s">
        <v>123</v>
      </c>
      <c r="J42" s="9"/>
    </row>
    <row r="43" customFormat="false" ht="15" hidden="false" customHeight="false" outlineLevel="0" collapsed="false">
      <c r="A43" s="16" t="n">
        <v>45658</v>
      </c>
      <c r="B43" s="17" t="n">
        <f aca="false">YEAR(A43)</f>
        <v>2025</v>
      </c>
      <c r="C43" s="11" t="n">
        <v>3859561.66</v>
      </c>
      <c r="D43" s="11" t="n">
        <v>3859561.66</v>
      </c>
      <c r="E43" s="11" t="n">
        <v>3859561.66</v>
      </c>
      <c r="F43" s="18" t="n">
        <f aca="false">E43-C43</f>
        <v>0</v>
      </c>
      <c r="G43" s="19" t="n">
        <f aca="false">IF(C43=0,0,F43/C43)</f>
        <v>0</v>
      </c>
      <c r="H43" s="18" t="n">
        <f aca="false">E43-D43</f>
        <v>0</v>
      </c>
      <c r="I43" s="9" t="s">
        <v>123</v>
      </c>
      <c r="J43" s="9"/>
    </row>
    <row r="44" customFormat="false" ht="15" hidden="false" customHeight="false" outlineLevel="0" collapsed="false">
      <c r="A44" s="16" t="n">
        <v>45689</v>
      </c>
      <c r="B44" s="17" t="n">
        <f aca="false">YEAR(A44)</f>
        <v>2025</v>
      </c>
      <c r="C44" s="11" t="n">
        <v>3802073.54</v>
      </c>
      <c r="D44" s="11" t="n">
        <v>3787073.54</v>
      </c>
      <c r="E44" s="11" t="n">
        <v>3787073.54</v>
      </c>
      <c r="F44" s="18" t="n">
        <f aca="false">E44-C44</f>
        <v>-15000</v>
      </c>
      <c r="G44" s="19" t="n">
        <f aca="false">IF(C44=0,0,F44/C44)</f>
        <v>-0.00394521564146284</v>
      </c>
      <c r="H44" s="18" t="n">
        <f aca="false">E44-D44</f>
        <v>0</v>
      </c>
      <c r="I44" s="9" t="s">
        <v>130</v>
      </c>
      <c r="J44" s="9" t="s">
        <v>138</v>
      </c>
    </row>
    <row r="45" customFormat="false" ht="15" hidden="false" customHeight="false" outlineLevel="0" collapsed="false">
      <c r="A45" s="16" t="n">
        <v>45717</v>
      </c>
      <c r="B45" s="17" t="n">
        <f aca="false">YEAR(A45)</f>
        <v>2025</v>
      </c>
      <c r="C45" s="11" t="n">
        <v>3790020.95</v>
      </c>
      <c r="D45" s="11" t="n">
        <v>3790020.95</v>
      </c>
      <c r="E45" s="11" t="n">
        <v>3790020.95</v>
      </c>
      <c r="F45" s="18" t="n">
        <f aca="false">E45-C45</f>
        <v>0</v>
      </c>
      <c r="G45" s="19" t="n">
        <f aca="false">IF(C45=0,0,F45/C45)</f>
        <v>0</v>
      </c>
      <c r="H45" s="18" t="n">
        <f aca="false">E45-D45</f>
        <v>0</v>
      </c>
      <c r="I45" s="9" t="s">
        <v>123</v>
      </c>
      <c r="J45" s="9"/>
    </row>
    <row r="46" customFormat="false" ht="15" hidden="false" customHeight="false" outlineLevel="0" collapsed="false">
      <c r="A46" s="16" t="n">
        <v>45748</v>
      </c>
      <c r="B46" s="17" t="n">
        <f aca="false">YEAR(A46)</f>
        <v>2025</v>
      </c>
      <c r="C46" s="11" t="n">
        <v>3644255.97</v>
      </c>
      <c r="D46" s="11" t="n">
        <v>3644255.97</v>
      </c>
      <c r="E46" s="11" t="n">
        <v>3644255.97</v>
      </c>
      <c r="F46" s="18" t="n">
        <f aca="false">E46-C46</f>
        <v>0</v>
      </c>
      <c r="G46" s="19" t="n">
        <f aca="false">IF(C46=0,0,F46/C46)</f>
        <v>0</v>
      </c>
      <c r="H46" s="18" t="n">
        <f aca="false">E46-D46</f>
        <v>0</v>
      </c>
      <c r="I46" s="9" t="s">
        <v>124</v>
      </c>
      <c r="J46" s="9" t="s">
        <v>139</v>
      </c>
    </row>
    <row r="47" customFormat="false" ht="15" hidden="false" customHeight="false" outlineLevel="0" collapsed="false">
      <c r="A47" s="16" t="n">
        <v>45778</v>
      </c>
      <c r="B47" s="17" t="n">
        <f aca="false">YEAR(A47)</f>
        <v>2025</v>
      </c>
      <c r="C47" s="11" t="n">
        <v>3991404.28</v>
      </c>
      <c r="D47" s="11" t="n">
        <v>3991404.28</v>
      </c>
      <c r="E47" s="11" t="n">
        <v>3991404.28</v>
      </c>
      <c r="F47" s="18" t="n">
        <f aca="false">E47-C47</f>
        <v>0</v>
      </c>
      <c r="G47" s="19" t="n">
        <f aca="false">IF(C47=0,0,F47/C47)</f>
        <v>0</v>
      </c>
      <c r="H47" s="18" t="n">
        <f aca="false">E47-D47</f>
        <v>0</v>
      </c>
      <c r="I47" s="9" t="s">
        <v>123</v>
      </c>
      <c r="J47" s="9"/>
    </row>
    <row r="48" customFormat="false" ht="15" hidden="false" customHeight="false" outlineLevel="0" collapsed="false">
      <c r="A48" s="16" t="n">
        <v>45809</v>
      </c>
      <c r="B48" s="17" t="n">
        <f aca="false">YEAR(A48)</f>
        <v>2025</v>
      </c>
      <c r="C48" s="11" t="n">
        <v>4286165.47</v>
      </c>
      <c r="D48" s="11" t="n">
        <v>4286165.47</v>
      </c>
      <c r="E48" s="11" t="n">
        <v>4286165.47</v>
      </c>
      <c r="F48" s="18" t="n">
        <f aca="false">E48-C48</f>
        <v>0</v>
      </c>
      <c r="G48" s="19" t="n">
        <f aca="false">IF(C48=0,0,F48/C48)</f>
        <v>0</v>
      </c>
      <c r="H48" s="18" t="n">
        <f aca="false">E48-D48</f>
        <v>0</v>
      </c>
      <c r="I48" s="9" t="s">
        <v>123</v>
      </c>
      <c r="J48" s="9"/>
    </row>
    <row r="49" customFormat="false" ht="15" hidden="false" customHeight="false" outlineLevel="0" collapsed="false">
      <c r="A49" s="16" t="n">
        <v>45839</v>
      </c>
      <c r="B49" s="17" t="n">
        <f aca="false">YEAR(A49)</f>
        <v>2025</v>
      </c>
      <c r="C49" s="11" t="n">
        <v>3531342.79</v>
      </c>
      <c r="D49" s="11" t="n">
        <v>3531342.79</v>
      </c>
      <c r="E49" s="11" t="n">
        <v>3531342.79</v>
      </c>
      <c r="F49" s="18" t="n">
        <f aca="false">E49-C49</f>
        <v>0</v>
      </c>
      <c r="G49" s="19" t="n">
        <f aca="false">IF(C49=0,0,F49/C49)</f>
        <v>0</v>
      </c>
      <c r="H49" s="18" t="n">
        <f aca="false">E49-D49</f>
        <v>0</v>
      </c>
      <c r="I49" s="9" t="s">
        <v>123</v>
      </c>
      <c r="J49" s="9"/>
    </row>
    <row r="50" customFormat="false" ht="15" hidden="false" customHeight="false" outlineLevel="0" collapsed="false">
      <c r="A50" s="16" t="n">
        <v>45870</v>
      </c>
      <c r="B50" s="17" t="n">
        <f aca="false">YEAR(A50)</f>
        <v>2025</v>
      </c>
      <c r="C50" s="11" t="n">
        <v>3824036.58</v>
      </c>
      <c r="D50" s="11" t="n">
        <v>3824036.58</v>
      </c>
      <c r="E50" s="11" t="n">
        <v>3824036.58</v>
      </c>
      <c r="F50" s="18" t="n">
        <f aca="false">E50-C50</f>
        <v>0</v>
      </c>
      <c r="G50" s="19" t="n">
        <f aca="false">IF(C50=0,0,F50/C50)</f>
        <v>0</v>
      </c>
      <c r="H50" s="18" t="n">
        <f aca="false">E50-D50</f>
        <v>0</v>
      </c>
      <c r="I50" s="9" t="s">
        <v>124</v>
      </c>
      <c r="J50" s="9" t="s">
        <v>140</v>
      </c>
    </row>
    <row r="51" customFormat="false" ht="15" hidden="false" customHeight="false" outlineLevel="0" collapsed="false">
      <c r="A51" s="16" t="n">
        <v>45901</v>
      </c>
      <c r="B51" s="17" t="n">
        <f aca="false">YEAR(A51)</f>
        <v>2025</v>
      </c>
      <c r="C51" s="11" t="n">
        <v>3599823.26</v>
      </c>
      <c r="D51" s="11" t="n">
        <v>3599823.26</v>
      </c>
      <c r="E51" s="11" t="n">
        <v>3599823.26</v>
      </c>
      <c r="F51" s="18" t="n">
        <f aca="false">E51-C51</f>
        <v>0</v>
      </c>
      <c r="G51" s="19" t="n">
        <f aca="false">IF(C51=0,0,F51/C51)</f>
        <v>0</v>
      </c>
      <c r="H51" s="18" t="n">
        <f aca="false">E51-D51</f>
        <v>0</v>
      </c>
      <c r="I51" s="9" t="s">
        <v>123</v>
      </c>
      <c r="J51" s="9"/>
    </row>
    <row r="52" customFormat="false" ht="15" hidden="false" customHeight="false" outlineLevel="0" collapsed="false">
      <c r="A52" s="16" t="n">
        <v>45931</v>
      </c>
      <c r="B52" s="17" t="n">
        <f aca="false">YEAR(A52)</f>
        <v>2025</v>
      </c>
      <c r="C52" s="11" t="n">
        <v>3768098.19</v>
      </c>
      <c r="D52" s="11" t="n">
        <v>3768098.19</v>
      </c>
      <c r="E52" s="11" t="n">
        <v>3768098.19</v>
      </c>
      <c r="F52" s="18" t="n">
        <f aca="false">E52-C52</f>
        <v>0</v>
      </c>
      <c r="G52" s="19" t="n">
        <f aca="false">IF(C52=0,0,F52/C52)</f>
        <v>0</v>
      </c>
      <c r="H52" s="18" t="n">
        <f aca="false">E52-D52</f>
        <v>0</v>
      </c>
      <c r="I52" s="9" t="s">
        <v>123</v>
      </c>
      <c r="J52" s="9"/>
    </row>
    <row r="53" customFormat="false" ht="15" hidden="false" customHeight="false" outlineLevel="0" collapsed="false">
      <c r="A53" s="16" t="n">
        <v>45962</v>
      </c>
      <c r="B53" s="17" t="n">
        <f aca="false">YEAR(A53)</f>
        <v>2025</v>
      </c>
      <c r="C53" s="11" t="n">
        <v>3833117.98</v>
      </c>
      <c r="D53" s="11" t="n">
        <v>3833117.98</v>
      </c>
      <c r="E53" s="11" t="n">
        <v>3833117.98</v>
      </c>
      <c r="F53" s="18" t="n">
        <f aca="false">E53-C53</f>
        <v>0</v>
      </c>
      <c r="G53" s="19" t="n">
        <f aca="false">IF(C53=0,0,F53/C53)</f>
        <v>0</v>
      </c>
      <c r="H53" s="18" t="n">
        <f aca="false">E53-D53</f>
        <v>0</v>
      </c>
      <c r="I53" s="9" t="s">
        <v>123</v>
      </c>
      <c r="J53" s="9"/>
    </row>
    <row r="54" customFormat="false" ht="15" hidden="false" customHeight="false" outlineLevel="0" collapsed="false">
      <c r="A54" s="16" t="n">
        <v>45992</v>
      </c>
      <c r="B54" s="17" t="n">
        <f aca="false">YEAR(A54)</f>
        <v>2025</v>
      </c>
      <c r="C54" s="11" t="n">
        <v>3841518.68</v>
      </c>
      <c r="D54" s="11" t="n">
        <v>3841518.68</v>
      </c>
      <c r="E54" s="11" t="n">
        <v>3841518.68</v>
      </c>
      <c r="F54" s="18" t="n">
        <f aca="false">E54-C54</f>
        <v>0</v>
      </c>
      <c r="G54" s="19" t="n">
        <f aca="false">IF(C54=0,0,F54/C54)</f>
        <v>0</v>
      </c>
      <c r="H54" s="18" t="n">
        <f aca="false">E54-D54</f>
        <v>0</v>
      </c>
      <c r="I54" s="9" t="s">
        <v>123</v>
      </c>
      <c r="J54" s="9"/>
    </row>
    <row r="55" customFormat="false" ht="15" hidden="false" customHeight="false" outlineLevel="0" collapsed="false">
      <c r="A55" s="1" t="s">
        <v>61</v>
      </c>
      <c r="C55" s="14" t="n">
        <f aca="false">SUM(C7:C54)</f>
        <v>143439339.45</v>
      </c>
      <c r="D55" s="14" t="n">
        <f aca="false">SUM(D7:D54)</f>
        <v>143440339.45</v>
      </c>
      <c r="E55" s="14" t="n">
        <f aca="false">SUM(E7:E54)</f>
        <v>143440339.45</v>
      </c>
      <c r="F55" s="20" t="n">
        <f aca="false">SUM(F7:F54)</f>
        <v>1000</v>
      </c>
      <c r="H55" s="20" t="n">
        <f aca="false">SUM(H7:H54)</f>
        <v>0</v>
      </c>
      <c r="I55" s="15" t="b">
        <f aca="false">ABS(H55)&lt;0.01</f>
        <v>1</v>
      </c>
    </row>
    <row r="57" customFormat="false" ht="15" hidden="false" customHeight="false" outlineLevel="0" collapsed="false">
      <c r="A57" s="8" t="s">
        <v>141</v>
      </c>
    </row>
    <row r="58" customFormat="false" ht="30" hidden="false" customHeight="true" outlineLevel="0" collapsed="false">
      <c r="A58" s="4" t="s">
        <v>114</v>
      </c>
      <c r="B58" s="4" t="s">
        <v>115</v>
      </c>
      <c r="C58" s="4" t="s">
        <v>117</v>
      </c>
      <c r="D58" s="4" t="s">
        <v>118</v>
      </c>
      <c r="E58" s="4" t="s">
        <v>119</v>
      </c>
      <c r="F58" s="4" t="s">
        <v>142</v>
      </c>
      <c r="G58" s="4" t="s">
        <v>143</v>
      </c>
      <c r="H58" s="4" t="s">
        <v>144</v>
      </c>
      <c r="I58" s="4" t="s">
        <v>145</v>
      </c>
    </row>
    <row r="59" customFormat="false" ht="15" hidden="false" customHeight="false" outlineLevel="0" collapsed="false">
      <c r="A59" s="21" t="n">
        <v>2022</v>
      </c>
      <c r="B59" s="12" t="n">
        <f aca="false">SUMIFS($C$7:$C$54,$B$7:$B$54,A59)</f>
        <v>28232151.64</v>
      </c>
      <c r="C59" s="12" t="n">
        <f aca="false">SUMIFS($E$7:$E$54,$B$7:$B$54,A59)</f>
        <v>28232151.64</v>
      </c>
      <c r="D59" s="18" t="n">
        <f aca="false">C59-B59</f>
        <v>0</v>
      </c>
      <c r="E59" s="19" t="n">
        <f aca="false">IF(B59=0,0,D59/B59)</f>
        <v>0</v>
      </c>
      <c r="F59" s="18" t="n">
        <f aca="false">COUNTIFS($B$7:$B$54,A59,$I$7:$I$54,"unexplained")</f>
        <v>0</v>
      </c>
      <c r="G59" s="18" t="n">
        <f aca="false">SUMIFS($F$7:$F$54,$B$7:$B$54,A59,$I$7:$I$54,"unexplained")</f>
        <v>0</v>
      </c>
      <c r="H59" s="11" t="n">
        <v>28232151.64</v>
      </c>
      <c r="I59" s="15" t="b">
        <f aca="false">AND(ABS(D59-G59)&lt;0.005,ABS(C59-H59)&lt;0.005)</f>
        <v>1</v>
      </c>
    </row>
    <row r="60" customFormat="false" ht="15" hidden="false" customHeight="false" outlineLevel="0" collapsed="false">
      <c r="A60" s="21" t="n">
        <v>2023</v>
      </c>
      <c r="B60" s="12" t="n">
        <f aca="false">SUMIFS($C$7:$C$54,$B$7:$B$54,A60)</f>
        <v>32174369.95</v>
      </c>
      <c r="C60" s="12" t="n">
        <f aca="false">SUMIFS($E$7:$E$54,$B$7:$B$54,A60)</f>
        <v>32192869.95</v>
      </c>
      <c r="D60" s="18" t="n">
        <f aca="false">C60-B60</f>
        <v>18500</v>
      </c>
      <c r="E60" s="19" t="n">
        <f aca="false">IF(B60=0,0,D60/B60)</f>
        <v>0.000574991834455487</v>
      </c>
      <c r="F60" s="18" t="n">
        <f aca="false">COUNTIFS($B$7:$B$54,A60,$I$7:$I$54,"unexplained")</f>
        <v>1</v>
      </c>
      <c r="G60" s="18" t="n">
        <f aca="false">SUMIFS($F$7:$F$54,$B$7:$B$54,A60,$I$7:$I$54,"unexplained")</f>
        <v>18500</v>
      </c>
      <c r="H60" s="11" t="n">
        <v>32192869.95</v>
      </c>
      <c r="I60" s="15" t="b">
        <f aca="false">AND(ABS(D60-G60)&lt;0.005,ABS(C60-H60)&lt;0.005)</f>
        <v>1</v>
      </c>
    </row>
    <row r="61" customFormat="false" ht="15" hidden="false" customHeight="false" outlineLevel="0" collapsed="false">
      <c r="A61" s="21" t="n">
        <v>2024</v>
      </c>
      <c r="B61" s="12" t="n">
        <f aca="false">SUMIFS($C$7:$C$54,$B$7:$B$54,A61)</f>
        <v>37261398.51</v>
      </c>
      <c r="C61" s="12" t="n">
        <f aca="false">SUMIFS($E$7:$E$54,$B$7:$B$54,A61)</f>
        <v>37258898.51</v>
      </c>
      <c r="D61" s="18" t="n">
        <f aca="false">C61-B61</f>
        <v>-2500</v>
      </c>
      <c r="E61" s="19" t="n">
        <f aca="false">IF(B61=0,0,D61/B61)</f>
        <v>-6.70935633113466E-005</v>
      </c>
      <c r="F61" s="18" t="n">
        <f aca="false">COUNTIFS($B$7:$B$54,A61,$I$7:$I$54,"unexplained")</f>
        <v>2</v>
      </c>
      <c r="G61" s="18" t="n">
        <f aca="false">SUMIFS($F$7:$F$54,$B$7:$B$54,A61,$I$7:$I$54,"unexplained")</f>
        <v>-2500</v>
      </c>
      <c r="H61" s="11" t="n">
        <v>37258898.51</v>
      </c>
      <c r="I61" s="15" t="b">
        <f aca="false">AND(ABS(D61-G61)&lt;0.005,ABS(C61-H61)&lt;0.005)</f>
        <v>1</v>
      </c>
    </row>
    <row r="62" customFormat="false" ht="15" hidden="false" customHeight="false" outlineLevel="0" collapsed="false">
      <c r="A62" s="21" t="n">
        <v>2025</v>
      </c>
      <c r="B62" s="12" t="n">
        <f aca="false">SUMIFS($C$7:$C$54,$B$7:$B$54,A62)</f>
        <v>45771419.35</v>
      </c>
      <c r="C62" s="12" t="n">
        <f aca="false">SUMIFS($E$7:$E$54,$B$7:$B$54,A62)</f>
        <v>45756419.35</v>
      </c>
      <c r="D62" s="18" t="n">
        <f aca="false">C62-B62</f>
        <v>-15000</v>
      </c>
      <c r="E62" s="19" t="n">
        <f aca="false">IF(B62=0,0,D62/B62)</f>
        <v>-0.000327715421829059</v>
      </c>
      <c r="F62" s="18" t="n">
        <f aca="false">COUNTIFS($B$7:$B$54,A62,$I$7:$I$54,"unexplained")</f>
        <v>1</v>
      </c>
      <c r="G62" s="18" t="n">
        <f aca="false">SUMIFS($F$7:$F$54,$B$7:$B$54,A62,$I$7:$I$54,"unexplained")</f>
        <v>-15000</v>
      </c>
      <c r="H62" s="11" t="n">
        <v>45756419.35</v>
      </c>
      <c r="I62" s="15" t="b">
        <f aca="false">AND(ABS(D62-G62)&lt;0.005,ABS(C62-H62)&lt;0.005)</f>
        <v>1</v>
      </c>
    </row>
    <row r="65" customFormat="false" ht="15" hidden="false" customHeight="false" outlineLevel="0" collapsed="false">
      <c r="A65" s="8" t="s">
        <v>146</v>
      </c>
    </row>
    <row r="66" customFormat="false" ht="30" hidden="false" customHeight="true" outlineLevel="0" collapsed="false">
      <c r="A66" s="4" t="s">
        <v>147</v>
      </c>
      <c r="B66" s="4" t="s">
        <v>57</v>
      </c>
      <c r="C66" s="4" t="s">
        <v>58</v>
      </c>
      <c r="D66" s="4" t="s">
        <v>59</v>
      </c>
      <c r="E66" s="4" t="s">
        <v>60</v>
      </c>
    </row>
    <row r="67" customFormat="false" ht="15" hidden="false" customHeight="false" outlineLevel="0" collapsed="false">
      <c r="A67" s="2" t="s">
        <v>148</v>
      </c>
      <c r="B67" s="11" t="n">
        <v>28564164.39</v>
      </c>
      <c r="C67" s="11" t="n">
        <v>32537962.92</v>
      </c>
      <c r="D67" s="11" t="n">
        <v>37583315.05</v>
      </c>
      <c r="E67" s="11" t="n">
        <v>46174479.6</v>
      </c>
    </row>
    <row r="68" customFormat="false" ht="15" hidden="false" customHeight="false" outlineLevel="0" collapsed="false">
      <c r="A68" s="2" t="s">
        <v>149</v>
      </c>
      <c r="B68" s="11" t="n">
        <v>-8596.92</v>
      </c>
      <c r="C68" s="11" t="n">
        <v>-70158.24</v>
      </c>
      <c r="D68" s="11" t="n">
        <v>-7115.7</v>
      </c>
      <c r="E68" s="11" t="n">
        <v>-11086.4</v>
      </c>
    </row>
    <row r="69" customFormat="false" ht="15" hidden="false" customHeight="false" outlineLevel="0" collapsed="false">
      <c r="A69" s="2" t="s">
        <v>150</v>
      </c>
      <c r="B69" s="11" t="n">
        <v>5788.75</v>
      </c>
      <c r="C69" s="11" t="n">
        <v>2118.96</v>
      </c>
      <c r="D69" s="11" t="n">
        <v>4073.48</v>
      </c>
      <c r="E69" s="11" t="n">
        <v>1862.63</v>
      </c>
    </row>
    <row r="70" customFormat="false" ht="15" hidden="false" customHeight="false" outlineLevel="0" collapsed="false">
      <c r="A70" s="2" t="s">
        <v>151</v>
      </c>
      <c r="B70" s="11" t="n">
        <v>-329204.58</v>
      </c>
      <c r="C70" s="11" t="n">
        <v>-277053.69</v>
      </c>
      <c r="D70" s="11" t="n">
        <v>-321374.32</v>
      </c>
      <c r="E70" s="11" t="n">
        <v>-408836.48</v>
      </c>
    </row>
    <row r="71" customFormat="false" ht="15" hidden="false" customHeight="false" outlineLevel="0" collapsed="false">
      <c r="A71" s="1" t="s">
        <v>117</v>
      </c>
      <c r="B71" s="14" t="n">
        <f aca="false">SUM(B67:B70)</f>
        <v>28232151.64</v>
      </c>
      <c r="C71" s="14" t="n">
        <f aca="false">SUM(C67:C70)</f>
        <v>32192869.95</v>
      </c>
      <c r="D71" s="14" t="n">
        <f aca="false">SUM(D67:D70)</f>
        <v>37258898.51</v>
      </c>
      <c r="E71" s="14" t="n">
        <f aca="false">SUM(E67:E70)</f>
        <v>45756419.35</v>
      </c>
    </row>
    <row r="72" customFormat="false" ht="15" hidden="false" customHeight="false" outlineLevel="0" collapsed="false">
      <c r="A72" s="2" t="s">
        <v>152</v>
      </c>
      <c r="B72" s="18" t="n">
        <f aca="false">B73-B71</f>
        <v>0</v>
      </c>
      <c r="C72" s="18" t="n">
        <f aca="false">C73-C71</f>
        <v>-18500.0000000037</v>
      </c>
      <c r="D72" s="18" t="n">
        <f aca="false">D73-D71</f>
        <v>2500</v>
      </c>
      <c r="E72" s="18" t="n">
        <f aca="false">E73-E71</f>
        <v>15000</v>
      </c>
    </row>
    <row r="73" customFormat="false" ht="15" hidden="false" customHeight="false" outlineLevel="0" collapsed="false">
      <c r="A73" s="1" t="s">
        <v>153</v>
      </c>
      <c r="B73" s="14" t="n">
        <f aca="false">B59</f>
        <v>28232151.64</v>
      </c>
      <c r="C73" s="14" t="n">
        <f aca="false">B60</f>
        <v>32174369.95</v>
      </c>
      <c r="D73" s="14" t="n">
        <f aca="false">B61</f>
        <v>37261398.51</v>
      </c>
      <c r="E73" s="14" t="n">
        <f aca="false">B62</f>
        <v>45771419.35</v>
      </c>
    </row>
    <row r="74" customFormat="false" ht="15" hidden="false" customHeight="false" outlineLevel="0" collapsed="false">
      <c r="A74" s="2" t="s">
        <v>154</v>
      </c>
      <c r="B74" s="15" t="b">
        <f aca="false">ABS(B71-C59)&lt;0.005</f>
        <v>1</v>
      </c>
      <c r="C74" s="15" t="b">
        <f aca="false">ABS(C71-C60)&lt;0.005</f>
        <v>1</v>
      </c>
      <c r="D74" s="15" t="b">
        <f aca="false">ABS(D71-C61)&lt;0.005</f>
        <v>1</v>
      </c>
      <c r="E74" s="15" t="b">
        <f aca="false">ABS(E71-C62)&lt;0.005</f>
        <v>1</v>
      </c>
    </row>
    <row r="77" customFormat="false" ht="15" hidden="false" customHeight="false" outlineLevel="0" collapsed="false">
      <c r="A77" s="8" t="s">
        <v>155</v>
      </c>
    </row>
    <row r="78" customFormat="false" ht="30" hidden="false" customHeight="true" outlineLevel="0" collapsed="false">
      <c r="A78" s="4" t="s">
        <v>156</v>
      </c>
      <c r="B78" s="4" t="s">
        <v>114</v>
      </c>
      <c r="C78" s="4" t="s">
        <v>157</v>
      </c>
      <c r="D78" s="4" t="s">
        <v>117</v>
      </c>
      <c r="E78" s="4" t="s">
        <v>118</v>
      </c>
      <c r="F78" s="4" t="s">
        <v>158</v>
      </c>
    </row>
    <row r="79" customFormat="false" ht="15" hidden="false" customHeight="false" outlineLevel="0" collapsed="false">
      <c r="A79" s="9" t="s">
        <v>159</v>
      </c>
      <c r="B79" s="21" t="n">
        <v>2022</v>
      </c>
      <c r="C79" s="11" t="n">
        <v>3078864.24</v>
      </c>
      <c r="D79" s="11" t="n">
        <v>3078864.24</v>
      </c>
      <c r="E79" s="18" t="n">
        <f aca="false">D79-C79</f>
        <v>0</v>
      </c>
      <c r="F79" s="10" t="n">
        <v>12</v>
      </c>
    </row>
    <row r="80" customFormat="false" ht="15" hidden="false" customHeight="false" outlineLevel="0" collapsed="false">
      <c r="A80" s="9" t="s">
        <v>160</v>
      </c>
      <c r="B80" s="21" t="n">
        <v>2022</v>
      </c>
      <c r="C80" s="11" t="n">
        <v>20979313.89</v>
      </c>
      <c r="D80" s="11" t="n">
        <v>20979313.89</v>
      </c>
      <c r="E80" s="18" t="n">
        <f aca="false">D80-C80</f>
        <v>0</v>
      </c>
      <c r="F80" s="10" t="n">
        <v>12</v>
      </c>
    </row>
    <row r="81" customFormat="false" ht="15" hidden="false" customHeight="false" outlineLevel="0" collapsed="false">
      <c r="A81" s="9" t="s">
        <v>161</v>
      </c>
      <c r="B81" s="21" t="n">
        <v>2022</v>
      </c>
      <c r="C81" s="11" t="n">
        <v>983859.59</v>
      </c>
      <c r="D81" s="11" t="n">
        <v>983859.59</v>
      </c>
      <c r="E81" s="18" t="n">
        <f aca="false">D81-C81</f>
        <v>0</v>
      </c>
      <c r="F81" s="10" t="n">
        <v>12</v>
      </c>
    </row>
    <row r="82" customFormat="false" ht="15" hidden="false" customHeight="false" outlineLevel="0" collapsed="false">
      <c r="A82" s="9" t="s">
        <v>162</v>
      </c>
      <c r="B82" s="21" t="n">
        <v>2022</v>
      </c>
      <c r="C82" s="11" t="n">
        <v>3190113.92</v>
      </c>
      <c r="D82" s="11" t="n">
        <v>3190113.92</v>
      </c>
      <c r="E82" s="18" t="n">
        <f aca="false">D82-C82</f>
        <v>0</v>
      </c>
      <c r="F82" s="10" t="n">
        <v>12</v>
      </c>
    </row>
    <row r="83" customFormat="false" ht="15" hidden="false" customHeight="false" outlineLevel="0" collapsed="false">
      <c r="A83" s="9" t="s">
        <v>159</v>
      </c>
      <c r="B83" s="21" t="n">
        <v>2023</v>
      </c>
      <c r="C83" s="11" t="n">
        <v>3594489.9</v>
      </c>
      <c r="D83" s="11" t="n">
        <v>3594489.9</v>
      </c>
      <c r="E83" s="18" t="n">
        <f aca="false">D83-C83</f>
        <v>0</v>
      </c>
      <c r="F83" s="10" t="n">
        <v>12</v>
      </c>
    </row>
    <row r="84" customFormat="false" ht="15" hidden="false" customHeight="false" outlineLevel="0" collapsed="false">
      <c r="A84" s="9" t="s">
        <v>160</v>
      </c>
      <c r="B84" s="21" t="n">
        <v>2023</v>
      </c>
      <c r="C84" s="11" t="n">
        <v>23830469.2</v>
      </c>
      <c r="D84" s="11" t="n">
        <v>23830469.2</v>
      </c>
      <c r="E84" s="18" t="n">
        <f aca="false">D84-C84</f>
        <v>0</v>
      </c>
      <c r="F84" s="10" t="n">
        <v>12</v>
      </c>
    </row>
    <row r="85" customFormat="false" ht="15" hidden="false" customHeight="false" outlineLevel="0" collapsed="false">
      <c r="A85" s="9" t="s">
        <v>161</v>
      </c>
      <c r="B85" s="21" t="n">
        <v>2023</v>
      </c>
      <c r="C85" s="11" t="n">
        <v>1178203.8</v>
      </c>
      <c r="D85" s="11" t="n">
        <v>1178203.8</v>
      </c>
      <c r="E85" s="18" t="n">
        <f aca="false">D85-C85</f>
        <v>0</v>
      </c>
      <c r="F85" s="10" t="n">
        <v>12</v>
      </c>
    </row>
    <row r="86" customFormat="false" ht="15" hidden="false" customHeight="false" outlineLevel="0" collapsed="false">
      <c r="A86" s="9" t="s">
        <v>162</v>
      </c>
      <c r="B86" s="21" t="n">
        <v>2023</v>
      </c>
      <c r="C86" s="11" t="n">
        <v>3589707.05</v>
      </c>
      <c r="D86" s="11" t="n">
        <v>3589707.05</v>
      </c>
      <c r="E86" s="18" t="n">
        <f aca="false">D86-C86</f>
        <v>0</v>
      </c>
      <c r="F86" s="10" t="n">
        <v>12</v>
      </c>
    </row>
    <row r="87" customFormat="false" ht="15" hidden="false" customHeight="false" outlineLevel="0" collapsed="false">
      <c r="A87" s="9" t="s">
        <v>159</v>
      </c>
      <c r="B87" s="21" t="n">
        <v>2024</v>
      </c>
      <c r="C87" s="11" t="n">
        <v>4168383.63</v>
      </c>
      <c r="D87" s="11" t="n">
        <v>4168383.63</v>
      </c>
      <c r="E87" s="18" t="n">
        <f aca="false">D87-C87</f>
        <v>0</v>
      </c>
      <c r="F87" s="10" t="n">
        <v>12</v>
      </c>
    </row>
    <row r="88" customFormat="false" ht="15" hidden="false" customHeight="false" outlineLevel="0" collapsed="false">
      <c r="A88" s="9" t="s">
        <v>160</v>
      </c>
      <c r="B88" s="21" t="n">
        <v>2024</v>
      </c>
      <c r="C88" s="11" t="n">
        <v>27735968.67</v>
      </c>
      <c r="D88" s="11" t="n">
        <v>27735968.67</v>
      </c>
      <c r="E88" s="18" t="n">
        <f aca="false">D88-C88</f>
        <v>0</v>
      </c>
      <c r="F88" s="10" t="n">
        <v>12</v>
      </c>
    </row>
    <row r="89" customFormat="false" ht="15" hidden="false" customHeight="false" outlineLevel="0" collapsed="false">
      <c r="A89" s="9" t="s">
        <v>161</v>
      </c>
      <c r="B89" s="21" t="n">
        <v>2024</v>
      </c>
      <c r="C89" s="11" t="n">
        <v>1144214.82</v>
      </c>
      <c r="D89" s="11" t="n">
        <v>1144214.82</v>
      </c>
      <c r="E89" s="18" t="n">
        <f aca="false">D89-C89</f>
        <v>0</v>
      </c>
      <c r="F89" s="10" t="n">
        <v>12</v>
      </c>
    </row>
    <row r="90" customFormat="false" ht="15" hidden="false" customHeight="false" outlineLevel="0" collapsed="false">
      <c r="A90" s="9" t="s">
        <v>162</v>
      </c>
      <c r="B90" s="21" t="n">
        <v>2024</v>
      </c>
      <c r="C90" s="11" t="n">
        <v>4210331.39</v>
      </c>
      <c r="D90" s="11" t="n">
        <v>4210331.39</v>
      </c>
      <c r="E90" s="18" t="n">
        <f aca="false">D90-C90</f>
        <v>0</v>
      </c>
      <c r="F90" s="10" t="n">
        <v>12</v>
      </c>
    </row>
    <row r="91" customFormat="false" ht="15" hidden="false" customHeight="false" outlineLevel="0" collapsed="false">
      <c r="A91" s="9" t="s">
        <v>159</v>
      </c>
      <c r="B91" s="21" t="n">
        <v>2025</v>
      </c>
      <c r="C91" s="11" t="n">
        <v>4574888.36</v>
      </c>
      <c r="D91" s="11" t="n">
        <v>4574888.36</v>
      </c>
      <c r="E91" s="18" t="n">
        <f aca="false">D91-C91</f>
        <v>0</v>
      </c>
      <c r="F91" s="10" t="n">
        <v>12</v>
      </c>
    </row>
    <row r="92" customFormat="false" ht="15" hidden="false" customHeight="false" outlineLevel="0" collapsed="false">
      <c r="A92" s="9" t="s">
        <v>160</v>
      </c>
      <c r="B92" s="21" t="n">
        <v>2025</v>
      </c>
      <c r="C92" s="11" t="n">
        <v>31584836.35</v>
      </c>
      <c r="D92" s="11" t="n">
        <v>31584836.35</v>
      </c>
      <c r="E92" s="18" t="n">
        <f aca="false">D92-C92</f>
        <v>0</v>
      </c>
      <c r="F92" s="10" t="n">
        <v>12</v>
      </c>
    </row>
    <row r="93" customFormat="false" ht="15" hidden="false" customHeight="false" outlineLevel="0" collapsed="false">
      <c r="A93" s="9" t="s">
        <v>161</v>
      </c>
      <c r="B93" s="21" t="n">
        <v>2025</v>
      </c>
      <c r="C93" s="11" t="n">
        <v>5281322.2</v>
      </c>
      <c r="D93" s="11" t="n">
        <v>5281322.2</v>
      </c>
      <c r="E93" s="18" t="n">
        <f aca="false">D93-C93</f>
        <v>0</v>
      </c>
      <c r="F93" s="10" t="n">
        <v>12</v>
      </c>
    </row>
    <row r="94" customFormat="false" ht="15" hidden="false" customHeight="false" outlineLevel="0" collapsed="false">
      <c r="A94" s="9" t="s">
        <v>162</v>
      </c>
      <c r="B94" s="21" t="n">
        <v>2025</v>
      </c>
      <c r="C94" s="11" t="n">
        <v>4315372.44</v>
      </c>
      <c r="D94" s="11" t="n">
        <v>4315372.44</v>
      </c>
      <c r="E94" s="18" t="n">
        <f aca="false">D94-C94</f>
        <v>0</v>
      </c>
      <c r="F94" s="10" t="n">
        <v>12</v>
      </c>
    </row>
    <row r="95" customFormat="false" ht="15" hidden="false" customHeight="false" outlineLevel="0" collapsed="false">
      <c r="A95" s="1" t="s">
        <v>61</v>
      </c>
      <c r="E95" s="20" t="n">
        <f aca="false">SUM(E79:E94)</f>
        <v>0</v>
      </c>
      <c r="F95" s="15" t="b">
        <f aca="false">ABS(E95)&lt;0.005</f>
        <v>1</v>
      </c>
    </row>
    <row r="98" customFormat="false" ht="15" hidden="false" customHeight="true" outlineLevel="0" collapsed="false">
      <c r="J98" s="22" t="s">
        <v>163</v>
      </c>
    </row>
    <row r="99" customFormat="false" ht="15" hidden="false" customHeight="false" outlineLevel="0" collapsed="false">
      <c r="J99" s="22"/>
    </row>
    <row r="100" customFormat="false" ht="15" hidden="false" customHeight="false" outlineLevel="0" collapsed="false">
      <c r="J100" s="22"/>
    </row>
    <row r="101" customFormat="false" ht="15" hidden="false" customHeight="false" outlineLevel="0" collapsed="false">
      <c r="J101" s="22"/>
    </row>
    <row r="102" customFormat="false" ht="15" hidden="false" customHeight="false" outlineLevel="0" collapsed="false">
      <c r="J102" s="22"/>
    </row>
    <row r="103" customFormat="false" ht="15" hidden="false" customHeight="false" outlineLevel="0" collapsed="false">
      <c r="J103" s="22"/>
    </row>
    <row r="104" customFormat="false" ht="15" hidden="false" customHeight="false" outlineLevel="0" collapsed="false">
      <c r="J104" s="22"/>
    </row>
    <row r="105" customFormat="false" ht="15" hidden="false" customHeight="false" outlineLevel="0" collapsed="false">
      <c r="J105" s="22"/>
    </row>
    <row r="106" customFormat="false" ht="15" hidden="false" customHeight="false" outlineLevel="0" collapsed="false">
      <c r="J106" s="22"/>
    </row>
    <row r="107" customFormat="false" ht="15" hidden="false" customHeight="false" outlineLevel="0" collapsed="false">
      <c r="J107" s="22"/>
    </row>
    <row r="108" customFormat="false" ht="15" hidden="false" customHeight="false" outlineLevel="0" collapsed="false">
      <c r="J108" s="22"/>
    </row>
    <row r="109" customFormat="false" ht="15" hidden="false" customHeight="false" outlineLevel="0" collapsed="false">
      <c r="J109" s="22"/>
    </row>
    <row r="110" customFormat="false" ht="15" hidden="false" customHeight="false" outlineLevel="0" collapsed="false">
      <c r="J110" s="22"/>
    </row>
    <row r="111" customFormat="false" ht="15" hidden="false" customHeight="false" outlineLevel="0" collapsed="false">
      <c r="J111" s="22"/>
    </row>
    <row r="112" customFormat="false" ht="15" hidden="false" customHeight="false" outlineLevel="0" collapsed="false">
      <c r="J112" s="22"/>
    </row>
    <row r="113" customFormat="false" ht="15" hidden="false" customHeight="false" outlineLevel="0" collapsed="false">
      <c r="J113" s="22"/>
    </row>
    <row r="114" customFormat="false" ht="15" hidden="false" customHeight="false" outlineLevel="0" collapsed="false">
      <c r="J114" s="22"/>
    </row>
    <row r="115" customFormat="false" ht="15" hidden="false" customHeight="false" outlineLevel="0" collapsed="false">
      <c r="J115" s="22"/>
    </row>
  </sheetData>
  <mergeCells count="1">
    <mergeCell ref="J98:J115"/>
  </mergeCells>
  <printOptions headings="false" gridLines="false" gridLinesSet="true" horizontalCentered="fals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&amp;C&amp;A</oddHeader>
    <oddFooter>&amp;LProject Northbridge: DRAFT&amp;CPage &amp;P of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6" min="2" style="0" width="13"/>
    <col collapsed="false" customWidth="true" hidden="false" outlineLevel="0" max="12" min="7" style="0" width="11"/>
    <col collapsed="false" customWidth="true" hidden="false" outlineLevel="0" max="13" min="13" style="0" width="14"/>
    <col collapsed="false" customWidth="true" hidden="false" outlineLevel="0" max="14" min="14" style="0" width="9"/>
  </cols>
  <sheetData>
    <row r="1" customFormat="false" ht="15" hidden="false" customHeight="false" outlineLevel="0" collapsed="false">
      <c r="A1" s="1" t="s">
        <v>164</v>
      </c>
    </row>
    <row r="2" customFormat="false" ht="15" hidden="false" customHeight="false" outlineLevel="0" collapsed="false">
      <c r="A2" s="2" t="s">
        <v>35</v>
      </c>
    </row>
    <row r="3" customFormat="false" ht="15" hidden="false" customHeight="false" outlineLevel="0" collapsed="false">
      <c r="A3" s="2" t="s">
        <v>165</v>
      </c>
    </row>
    <row r="5" customFormat="false" ht="15" hidden="false" customHeight="false" outlineLevel="0" collapsed="false">
      <c r="A5" s="8" t="s">
        <v>166</v>
      </c>
    </row>
    <row r="6" customFormat="false" ht="30" hidden="false" customHeight="true" outlineLevel="0" collapsed="false">
      <c r="A6" s="4" t="s">
        <v>114</v>
      </c>
      <c r="B6" s="4" t="s">
        <v>167</v>
      </c>
      <c r="C6" s="4" t="s">
        <v>168</v>
      </c>
      <c r="D6" s="4" t="s">
        <v>169</v>
      </c>
      <c r="E6" s="4" t="s">
        <v>170</v>
      </c>
      <c r="F6" s="4" t="s">
        <v>171</v>
      </c>
      <c r="G6" s="4" t="s">
        <v>172</v>
      </c>
      <c r="H6" s="4" t="s">
        <v>173</v>
      </c>
      <c r="I6" s="4" t="s">
        <v>174</v>
      </c>
      <c r="J6" s="4" t="s">
        <v>175</v>
      </c>
      <c r="K6" s="4" t="s">
        <v>176</v>
      </c>
      <c r="L6" s="4" t="s">
        <v>177</v>
      </c>
      <c r="M6" s="4" t="s">
        <v>178</v>
      </c>
      <c r="N6" s="4" t="s">
        <v>145</v>
      </c>
    </row>
    <row r="7" customFormat="false" ht="15" hidden="false" customHeight="false" outlineLevel="0" collapsed="false">
      <c r="A7" s="21" t="n">
        <v>2022</v>
      </c>
      <c r="B7" s="11" t="n">
        <v>27248292.05</v>
      </c>
      <c r="C7" s="11" t="n">
        <v>983859.59</v>
      </c>
      <c r="D7" s="11" t="n">
        <v>0</v>
      </c>
      <c r="E7" s="12" t="n">
        <f aca="false">C7+D7</f>
        <v>983859.59</v>
      </c>
      <c r="F7" s="14" t="n">
        <f aca="false">B7+E7</f>
        <v>28232151.64</v>
      </c>
      <c r="G7" s="23" t="n">
        <f aca="false">B7/F7</f>
        <v>0.965151094307455</v>
      </c>
      <c r="H7" s="23" t="n">
        <f aca="false">D7/F7</f>
        <v>0</v>
      </c>
      <c r="M7" s="12" t="n">
        <f aca="false">SUMIFS(Reconciliation!$C$59:$C$62,Reconciliation!$A$59:$A$62,A7)</f>
        <v>28232151.64</v>
      </c>
      <c r="N7" s="15" t="b">
        <f aca="false">ABS(F7-M7)&lt;0.005</f>
        <v>1</v>
      </c>
    </row>
    <row r="8" customFormat="false" ht="15" hidden="false" customHeight="false" outlineLevel="0" collapsed="false">
      <c r="A8" s="21" t="n">
        <v>2023</v>
      </c>
      <c r="B8" s="11" t="n">
        <v>31014666.15</v>
      </c>
      <c r="C8" s="11" t="n">
        <v>1178203.8</v>
      </c>
      <c r="D8" s="11" t="n">
        <v>0</v>
      </c>
      <c r="E8" s="12" t="n">
        <f aca="false">C8+D8</f>
        <v>1178203.8</v>
      </c>
      <c r="F8" s="14" t="n">
        <f aca="false">B8+E8</f>
        <v>32192869.95</v>
      </c>
      <c r="G8" s="23" t="n">
        <f aca="false">B8/F8</f>
        <v>0.963401715913185</v>
      </c>
      <c r="H8" s="23" t="n">
        <f aca="false">D8/F8</f>
        <v>0</v>
      </c>
      <c r="I8" s="23" t="n">
        <f aca="false">F8/F7-1</f>
        <v>0.140291053990669</v>
      </c>
      <c r="J8" s="23" t="n">
        <f aca="false">B8/B7-1</f>
        <v>0.138224226791492</v>
      </c>
      <c r="K8" s="23" t="n">
        <f aca="false">(F8-D8)/(F7-D7)-1</f>
        <v>0.140291053990669</v>
      </c>
      <c r="L8" s="24" t="n">
        <f aca="false">(I8-J8)*100</f>
        <v>0.20668271991775</v>
      </c>
      <c r="M8" s="12" t="n">
        <f aca="false">SUMIFS(Reconciliation!$C$59:$C$62,Reconciliation!$A$59:$A$62,A8)</f>
        <v>32192869.95</v>
      </c>
      <c r="N8" s="15" t="b">
        <f aca="false">ABS(F8-M8)&lt;0.005</f>
        <v>1</v>
      </c>
    </row>
    <row r="9" customFormat="false" ht="15" hidden="false" customHeight="false" outlineLevel="0" collapsed="false">
      <c r="A9" s="21" t="n">
        <v>2024</v>
      </c>
      <c r="B9" s="11" t="n">
        <v>36114683.69</v>
      </c>
      <c r="C9" s="11" t="n">
        <v>1144214.82</v>
      </c>
      <c r="D9" s="11" t="n">
        <v>0</v>
      </c>
      <c r="E9" s="12" t="n">
        <f aca="false">C9+D9</f>
        <v>1144214.82</v>
      </c>
      <c r="F9" s="14" t="n">
        <f aca="false">B9+E9</f>
        <v>37258898.51</v>
      </c>
      <c r="G9" s="23" t="n">
        <f aca="false">B9/F9</f>
        <v>0.969290159780411</v>
      </c>
      <c r="H9" s="23" t="n">
        <f aca="false">D9/F9</f>
        <v>0</v>
      </c>
      <c r="I9" s="23" t="n">
        <f aca="false">F9/F8-1</f>
        <v>0.157364924837961</v>
      </c>
      <c r="J9" s="23" t="n">
        <f aca="false">B9/B8-1</f>
        <v>0.164438898530591</v>
      </c>
      <c r="K9" s="23" t="n">
        <f aca="false">(F9-D9)/(F8-D8)-1</f>
        <v>0.157364924837961</v>
      </c>
      <c r="L9" s="24" t="n">
        <f aca="false">(I9-J9)*100</f>
        <v>-0.707397369262997</v>
      </c>
      <c r="M9" s="12" t="n">
        <f aca="false">SUMIFS(Reconciliation!$C$59:$C$62,Reconciliation!$A$59:$A$62,A9)</f>
        <v>37258898.51</v>
      </c>
      <c r="N9" s="15" t="b">
        <f aca="false">ABS(F9-M9)&lt;0.005</f>
        <v>1</v>
      </c>
    </row>
    <row r="10" customFormat="false" ht="15" hidden="false" customHeight="false" outlineLevel="0" collapsed="false">
      <c r="A10" s="21" t="n">
        <v>2025</v>
      </c>
      <c r="B10" s="11" t="n">
        <v>40475097.15</v>
      </c>
      <c r="C10" s="11" t="n">
        <v>1204747.89</v>
      </c>
      <c r="D10" s="11" t="n">
        <v>4076574.31</v>
      </c>
      <c r="E10" s="12" t="n">
        <f aca="false">C10+D10</f>
        <v>5281322.2</v>
      </c>
      <c r="F10" s="14" t="n">
        <f aca="false">B10+E10</f>
        <v>45756419.35</v>
      </c>
      <c r="G10" s="23" t="n">
        <f aca="false">B10/F10</f>
        <v>0.884577458747327</v>
      </c>
      <c r="H10" s="23" t="n">
        <f aca="false">D10/F10</f>
        <v>0.089092948441124</v>
      </c>
      <c r="I10" s="23" t="n">
        <f aca="false">F10/F9-1</f>
        <v>0.228066882807052</v>
      </c>
      <c r="J10" s="23" t="n">
        <f aca="false">B10/B9-1</f>
        <v>0.120737966236359</v>
      </c>
      <c r="K10" s="23" t="n">
        <f aca="false">(F10-D10)/(F9-D9)-1</f>
        <v>0.118654783334871</v>
      </c>
      <c r="L10" s="24" t="n">
        <f aca="false">(I10-J10)*100</f>
        <v>10.7328916570693</v>
      </c>
      <c r="M10" s="12" t="n">
        <f aca="false">SUMIFS(Reconciliation!$C$59:$C$62,Reconciliation!$A$59:$A$62,A10)</f>
        <v>45756419.35</v>
      </c>
      <c r="N10" s="15" t="b">
        <f aca="false">ABS(F10-M10)&lt;0.005</f>
        <v>1</v>
      </c>
    </row>
    <row r="13" customFormat="false" ht="15" hidden="false" customHeight="false" outlineLevel="0" collapsed="false">
      <c r="A13" s="8" t="s">
        <v>179</v>
      </c>
    </row>
    <row r="14" customFormat="false" ht="30" hidden="false" customHeight="true" outlineLevel="0" collapsed="false">
      <c r="A14" s="4" t="s">
        <v>114</v>
      </c>
      <c r="B14" s="4" t="s">
        <v>180</v>
      </c>
      <c r="C14" s="4" t="s">
        <v>181</v>
      </c>
      <c r="D14" s="4" t="s">
        <v>182</v>
      </c>
      <c r="E14" s="4" t="s">
        <v>183</v>
      </c>
      <c r="F14" s="4" t="s">
        <v>184</v>
      </c>
      <c r="G14" s="4" t="s">
        <v>185</v>
      </c>
    </row>
    <row r="15" customFormat="false" ht="15" hidden="false" customHeight="false" outlineLevel="0" collapsed="false">
      <c r="A15" s="21" t="n">
        <v>2022</v>
      </c>
      <c r="B15" s="11" t="n">
        <v>29005683.6</v>
      </c>
      <c r="C15" s="10" t="n">
        <v>1010</v>
      </c>
      <c r="D15" s="18" t="n">
        <f aca="false">B15/C15</f>
        <v>28718.4986138614</v>
      </c>
      <c r="E15" s="25" t="n">
        <v>1</v>
      </c>
    </row>
    <row r="16" customFormat="false" ht="15" hidden="false" customHeight="false" outlineLevel="0" collapsed="false">
      <c r="A16" s="21" t="n">
        <v>2023</v>
      </c>
      <c r="B16" s="11" t="n">
        <v>32781342.6</v>
      </c>
      <c r="C16" s="10" t="n">
        <v>1205</v>
      </c>
      <c r="D16" s="18" t="n">
        <f aca="false">B16/C16</f>
        <v>27204.4336929461</v>
      </c>
      <c r="E16" s="25" t="n">
        <v>1</v>
      </c>
      <c r="F16" s="23" t="n">
        <f aca="false">B16/B15-1</f>
        <v>0.130169626479688</v>
      </c>
      <c r="G16" s="23" t="n">
        <f aca="false">(B16/E16)/B15-1</f>
        <v>0.130169626479688</v>
      </c>
    </row>
    <row r="17" customFormat="false" ht="15" hidden="false" customHeight="false" outlineLevel="0" collapsed="false">
      <c r="A17" s="21" t="n">
        <v>2024</v>
      </c>
      <c r="B17" s="11" t="n">
        <v>37496836.08</v>
      </c>
      <c r="C17" s="10" t="n">
        <v>1343</v>
      </c>
      <c r="D17" s="18" t="n">
        <f aca="false">B17/C17</f>
        <v>27920.2055696203</v>
      </c>
      <c r="E17" s="25" t="n">
        <v>1.05</v>
      </c>
      <c r="F17" s="23" t="n">
        <f aca="false">B17/B16-1</f>
        <v>0.143846868553822</v>
      </c>
      <c r="G17" s="23" t="n">
        <f aca="false">(B17/E17)/B16-1</f>
        <v>0.0893779700512587</v>
      </c>
    </row>
    <row r="18" customFormat="false" ht="15" hidden="false" customHeight="false" outlineLevel="0" collapsed="false">
      <c r="A18" s="21" t="n">
        <v>2025</v>
      </c>
      <c r="B18" s="11" t="n">
        <v>41359827.84</v>
      </c>
      <c r="C18" s="10" t="n">
        <v>1462</v>
      </c>
      <c r="D18" s="18" t="n">
        <f aca="false">B18/C18</f>
        <v>28289.8959233926</v>
      </c>
      <c r="E18" s="25" t="n">
        <v>1.07</v>
      </c>
      <c r="F18" s="23" t="n">
        <f aca="false">B18/B17-1</f>
        <v>0.103021805673371</v>
      </c>
      <c r="G18" s="23" t="n">
        <f aca="false">(B18/E18)/B17-1</f>
        <v>0.0308615006293185</v>
      </c>
    </row>
    <row r="21" customFormat="false" ht="15" hidden="false" customHeight="true" outlineLevel="0" collapsed="false">
      <c r="L21" s="22" t="s">
        <v>186</v>
      </c>
      <c r="M21" s="22"/>
      <c r="N21" s="22"/>
      <c r="O21" s="22"/>
      <c r="P21" s="22"/>
      <c r="Q21" s="22"/>
      <c r="R21" s="22"/>
      <c r="S21" s="22"/>
    </row>
    <row r="22" customFormat="false" ht="15" hidden="false" customHeight="false" outlineLevel="0" collapsed="false">
      <c r="L22" s="22"/>
      <c r="M22" s="22"/>
      <c r="N22" s="22"/>
      <c r="O22" s="22"/>
      <c r="P22" s="22"/>
      <c r="Q22" s="22"/>
      <c r="R22" s="22"/>
      <c r="S22" s="22"/>
    </row>
    <row r="23" customFormat="false" ht="15" hidden="false" customHeight="false" outlineLevel="0" collapsed="false">
      <c r="L23" s="22"/>
      <c r="M23" s="22"/>
      <c r="N23" s="22"/>
      <c r="O23" s="22"/>
      <c r="P23" s="22"/>
      <c r="Q23" s="22"/>
      <c r="R23" s="22"/>
      <c r="S23" s="22"/>
    </row>
    <row r="24" customFormat="false" ht="15" hidden="false" customHeight="false" outlineLevel="0" collapsed="false">
      <c r="L24" s="22"/>
      <c r="M24" s="22"/>
      <c r="N24" s="22"/>
      <c r="O24" s="22"/>
      <c r="P24" s="22"/>
      <c r="Q24" s="22"/>
      <c r="R24" s="22"/>
      <c r="S24" s="22"/>
    </row>
    <row r="25" customFormat="false" ht="15" hidden="false" customHeight="false" outlineLevel="0" collapsed="false">
      <c r="L25" s="22"/>
      <c r="M25" s="22"/>
      <c r="N25" s="22"/>
      <c r="O25" s="22"/>
      <c r="P25" s="22"/>
      <c r="Q25" s="22"/>
      <c r="R25" s="22"/>
      <c r="S25" s="22"/>
    </row>
    <row r="26" customFormat="false" ht="15" hidden="false" customHeight="false" outlineLevel="0" collapsed="false">
      <c r="L26" s="22"/>
      <c r="M26" s="22"/>
      <c r="N26" s="22"/>
      <c r="O26" s="22"/>
      <c r="P26" s="22"/>
      <c r="Q26" s="22"/>
      <c r="R26" s="22"/>
      <c r="S26" s="22"/>
    </row>
    <row r="27" customFormat="false" ht="15" hidden="false" customHeight="false" outlineLevel="0" collapsed="false">
      <c r="L27" s="22"/>
      <c r="M27" s="22"/>
      <c r="N27" s="22"/>
      <c r="O27" s="22"/>
      <c r="P27" s="22"/>
      <c r="Q27" s="22"/>
      <c r="R27" s="22"/>
      <c r="S27" s="22"/>
    </row>
    <row r="28" customFormat="false" ht="15" hidden="false" customHeight="false" outlineLevel="0" collapsed="false">
      <c r="L28" s="22"/>
      <c r="M28" s="22"/>
      <c r="N28" s="22"/>
      <c r="O28" s="22"/>
      <c r="P28" s="22"/>
      <c r="Q28" s="22"/>
      <c r="R28" s="22"/>
      <c r="S28" s="22"/>
    </row>
    <row r="29" customFormat="false" ht="15" hidden="false" customHeight="false" outlineLevel="0" collapsed="false">
      <c r="L29" s="22"/>
      <c r="M29" s="22"/>
      <c r="N29" s="22"/>
      <c r="O29" s="22"/>
      <c r="P29" s="22"/>
      <c r="Q29" s="22"/>
      <c r="R29" s="22"/>
      <c r="S29" s="22"/>
    </row>
    <row r="30" customFormat="false" ht="15" hidden="false" customHeight="false" outlineLevel="0" collapsed="false">
      <c r="L30" s="22"/>
      <c r="M30" s="22"/>
      <c r="N30" s="22"/>
      <c r="O30" s="22"/>
      <c r="P30" s="22"/>
      <c r="Q30" s="22"/>
      <c r="R30" s="22"/>
      <c r="S30" s="22"/>
    </row>
    <row r="31" customFormat="false" ht="15" hidden="false" customHeight="false" outlineLevel="0" collapsed="false">
      <c r="L31" s="22"/>
      <c r="M31" s="22"/>
      <c r="N31" s="22"/>
      <c r="O31" s="22"/>
      <c r="P31" s="22"/>
      <c r="Q31" s="22"/>
      <c r="R31" s="22"/>
      <c r="S31" s="22"/>
    </row>
    <row r="32" customFormat="false" ht="15" hidden="false" customHeight="false" outlineLevel="0" collapsed="false">
      <c r="L32" s="22"/>
      <c r="M32" s="22"/>
      <c r="N32" s="22"/>
      <c r="O32" s="22"/>
      <c r="P32" s="22"/>
      <c r="Q32" s="22"/>
      <c r="R32" s="22"/>
      <c r="S32" s="22"/>
    </row>
    <row r="33" customFormat="false" ht="15" hidden="false" customHeight="false" outlineLevel="0" collapsed="false">
      <c r="L33" s="22"/>
      <c r="M33" s="22"/>
      <c r="N33" s="22"/>
      <c r="O33" s="22"/>
      <c r="P33" s="22"/>
      <c r="Q33" s="22"/>
      <c r="R33" s="22"/>
      <c r="S33" s="22"/>
    </row>
    <row r="34" customFormat="false" ht="15" hidden="false" customHeight="false" outlineLevel="0" collapsed="false">
      <c r="L34" s="22"/>
      <c r="M34" s="22"/>
      <c r="N34" s="22"/>
      <c r="O34" s="22"/>
      <c r="P34" s="22"/>
      <c r="Q34" s="22"/>
      <c r="R34" s="22"/>
      <c r="S34" s="22"/>
    </row>
    <row r="35" customFormat="false" ht="15" hidden="false" customHeight="false" outlineLevel="0" collapsed="false">
      <c r="L35" s="22"/>
      <c r="M35" s="22"/>
      <c r="N35" s="22"/>
      <c r="O35" s="22"/>
      <c r="P35" s="22"/>
      <c r="Q35" s="22"/>
      <c r="R35" s="22"/>
      <c r="S35" s="22"/>
    </row>
    <row r="36" customFormat="false" ht="15" hidden="false" customHeight="false" outlineLevel="0" collapsed="false">
      <c r="L36" s="22"/>
      <c r="M36" s="22"/>
      <c r="N36" s="22"/>
      <c r="O36" s="22"/>
      <c r="P36" s="22"/>
      <c r="Q36" s="22"/>
      <c r="R36" s="22"/>
      <c r="S36" s="22"/>
    </row>
    <row r="37" customFormat="false" ht="15" hidden="false" customHeight="false" outlineLevel="0" collapsed="false">
      <c r="L37" s="22"/>
      <c r="M37" s="22"/>
      <c r="N37" s="22"/>
      <c r="O37" s="22"/>
      <c r="P37" s="22"/>
      <c r="Q37" s="22"/>
      <c r="R37" s="22"/>
      <c r="S37" s="22"/>
    </row>
    <row r="38" customFormat="false" ht="15" hidden="false" customHeight="false" outlineLevel="0" collapsed="false">
      <c r="L38" s="22"/>
      <c r="M38" s="22"/>
      <c r="N38" s="22"/>
      <c r="O38" s="22"/>
      <c r="P38" s="22"/>
      <c r="Q38" s="22"/>
      <c r="R38" s="22"/>
      <c r="S38" s="22"/>
    </row>
  </sheetData>
  <mergeCells count="1">
    <mergeCell ref="L21:S38"/>
  </mergeCells>
  <printOptions headings="false" gridLines="false" gridLinesSet="true" horizontalCentered="fals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&amp;C&amp;A</oddHeader>
    <oddFooter>&amp;LProject Northbridge: DRAFT&amp;CPage &amp;P of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9"/>
    <col collapsed="false" customWidth="true" hidden="false" outlineLevel="0" max="4" min="3" style="0" width="13"/>
    <col collapsed="false" customWidth="true" hidden="false" outlineLevel="0" max="5" min="5" style="0" width="10"/>
    <col collapsed="false" customWidth="true" hidden="false" outlineLevel="0" max="7" min="6" style="0" width="13"/>
    <col collapsed="false" customWidth="true" hidden="false" outlineLevel="0" max="8" min="8" style="0" width="10"/>
    <col collapsed="false" customWidth="true" hidden="false" outlineLevel="0" max="9" min="9" style="0" width="14"/>
    <col collapsed="false" customWidth="true" hidden="false" outlineLevel="0" max="10" min="10" style="0" width="10"/>
    <col collapsed="false" customWidth="true" hidden="false" outlineLevel="0" max="11" min="11" style="0" width="12"/>
    <col collapsed="false" customWidth="true" hidden="false" outlineLevel="0" max="13" min="12" style="0" width="10"/>
  </cols>
  <sheetData>
    <row r="1" customFormat="false" ht="15" hidden="false" customHeight="false" outlineLevel="0" collapsed="false">
      <c r="A1" s="1" t="s">
        <v>187</v>
      </c>
    </row>
    <row r="2" customFormat="false" ht="15" hidden="false" customHeight="false" outlineLevel="0" collapsed="false">
      <c r="A2" s="2" t="s">
        <v>35</v>
      </c>
    </row>
    <row r="3" customFormat="false" ht="15" hidden="false" customHeight="false" outlineLevel="0" collapsed="false">
      <c r="A3" s="2" t="s">
        <v>188</v>
      </c>
    </row>
    <row r="5" customFormat="false" ht="15" hidden="false" customHeight="false" outlineLevel="0" collapsed="false">
      <c r="A5" s="8" t="s">
        <v>189</v>
      </c>
    </row>
    <row r="6" customFormat="false" ht="30" hidden="false" customHeight="true" outlineLevel="0" collapsed="false">
      <c r="A6" s="4" t="s">
        <v>114</v>
      </c>
      <c r="B6" s="4" t="s">
        <v>190</v>
      </c>
      <c r="C6" s="4" t="s">
        <v>191</v>
      </c>
      <c r="D6" s="4" t="s">
        <v>192</v>
      </c>
      <c r="E6" s="4" t="s">
        <v>193</v>
      </c>
      <c r="F6" s="4" t="s">
        <v>194</v>
      </c>
      <c r="G6" s="4" t="s">
        <v>195</v>
      </c>
      <c r="H6" s="4" t="s">
        <v>196</v>
      </c>
      <c r="I6" s="4" t="s">
        <v>197</v>
      </c>
      <c r="J6" s="4" t="s">
        <v>145</v>
      </c>
    </row>
    <row r="7" customFormat="false" ht="15" hidden="false" customHeight="false" outlineLevel="0" collapsed="false">
      <c r="A7" s="21" t="n">
        <v>2022</v>
      </c>
      <c r="B7" s="21" t="n">
        <v>1</v>
      </c>
      <c r="C7" s="11" t="n">
        <v>2167499.92</v>
      </c>
      <c r="D7" s="11" t="n">
        <v>28232151.64</v>
      </c>
      <c r="E7" s="23" t="n">
        <f aca="false">C7/D7</f>
        <v>0.0767741668307361</v>
      </c>
      <c r="F7" s="11" t="n">
        <v>2167499.92</v>
      </c>
      <c r="G7" s="11" t="n">
        <v>27248292.05</v>
      </c>
      <c r="H7" s="23" t="n">
        <f aca="false">F7/G7</f>
        <v>0.0795462671943873</v>
      </c>
      <c r="I7" s="12" t="n">
        <f aca="false">SUMIFS('4a Revenue quality'!$F$7:$F$10,'4a Revenue quality'!$A$7:$A$10,A7)</f>
        <v>28232151.64</v>
      </c>
      <c r="J7" s="15" t="b">
        <f aca="false">AND(ABS(D7-I7)&lt;0.005,E7&gt;0,E7&lt;=1)</f>
        <v>1</v>
      </c>
    </row>
    <row r="8" customFormat="false" ht="15" hidden="false" customHeight="false" outlineLevel="0" collapsed="false">
      <c r="A8" s="21" t="n">
        <v>2022</v>
      </c>
      <c r="B8" s="21" t="n">
        <v>5</v>
      </c>
      <c r="C8" s="11" t="n">
        <v>8408750.04</v>
      </c>
      <c r="D8" s="11" t="n">
        <v>28232151.64</v>
      </c>
      <c r="E8" s="23" t="n">
        <f aca="false">C8/D8</f>
        <v>0.297843046014469</v>
      </c>
      <c r="F8" s="11" t="n">
        <v>8408750.04</v>
      </c>
      <c r="G8" s="11" t="n">
        <v>27248292.05</v>
      </c>
      <c r="H8" s="23" t="n">
        <f aca="false">F8/G8</f>
        <v>0.308597325093629</v>
      </c>
      <c r="I8" s="12" t="n">
        <f aca="false">SUMIFS('4a Revenue quality'!$F$7:$F$10,'4a Revenue quality'!$A$7:$A$10,A8)</f>
        <v>28232151.64</v>
      </c>
      <c r="J8" s="15" t="b">
        <f aca="false">AND(ABS(D8-I8)&lt;0.005,E8&gt;0,E8&lt;=1)</f>
        <v>1</v>
      </c>
    </row>
    <row r="9" customFormat="false" ht="15" hidden="false" customHeight="false" outlineLevel="0" collapsed="false">
      <c r="A9" s="21" t="n">
        <v>2022</v>
      </c>
      <c r="B9" s="21" t="n">
        <v>10</v>
      </c>
      <c r="C9" s="11" t="n">
        <v>9436266.6</v>
      </c>
      <c r="D9" s="11" t="n">
        <v>28232151.64</v>
      </c>
      <c r="E9" s="23" t="n">
        <f aca="false">C9/D9</f>
        <v>0.334238308164599</v>
      </c>
      <c r="F9" s="11" t="n">
        <v>9436266.6</v>
      </c>
      <c r="G9" s="11" t="n">
        <v>27248292.05</v>
      </c>
      <c r="H9" s="23" t="n">
        <f aca="false">F9/G9</f>
        <v>0.346306718332461</v>
      </c>
      <c r="I9" s="12" t="n">
        <f aca="false">SUMIFS('4a Revenue quality'!$F$7:$F$10,'4a Revenue quality'!$A$7:$A$10,A9)</f>
        <v>28232151.64</v>
      </c>
      <c r="J9" s="15" t="b">
        <f aca="false">AND(ABS(D9-I9)&lt;0.005,E9&gt;0,E9&lt;=1)</f>
        <v>1</v>
      </c>
    </row>
    <row r="10" customFormat="false" ht="15" hidden="false" customHeight="false" outlineLevel="0" collapsed="false">
      <c r="A10" s="21" t="n">
        <v>2022</v>
      </c>
      <c r="B10" s="21" t="n">
        <v>20</v>
      </c>
      <c r="C10" s="11" t="n">
        <v>9891498.74</v>
      </c>
      <c r="D10" s="11" t="n">
        <v>28232151.64</v>
      </c>
      <c r="E10" s="23" t="n">
        <f aca="false">C10/D10</f>
        <v>0.350362907727709</v>
      </c>
      <c r="F10" s="11" t="n">
        <v>9891498.74</v>
      </c>
      <c r="G10" s="11" t="n">
        <v>27248292.05</v>
      </c>
      <c r="H10" s="23" t="n">
        <f aca="false">F10/G10</f>
        <v>0.363013532072004</v>
      </c>
      <c r="I10" s="12" t="n">
        <f aca="false">SUMIFS('4a Revenue quality'!$F$7:$F$10,'4a Revenue quality'!$A$7:$A$10,A10)</f>
        <v>28232151.64</v>
      </c>
      <c r="J10" s="15" t="b">
        <f aca="false">AND(ABS(D10-I10)&lt;0.005,E10&gt;0,E10&lt;=1)</f>
        <v>1</v>
      </c>
    </row>
    <row r="11" customFormat="false" ht="15" hidden="false" customHeight="false" outlineLevel="0" collapsed="false">
      <c r="A11" s="21" t="n">
        <v>2023</v>
      </c>
      <c r="B11" s="21" t="n">
        <v>1</v>
      </c>
      <c r="C11" s="11" t="n">
        <v>2209999.92</v>
      </c>
      <c r="D11" s="11" t="n">
        <v>32192869.95</v>
      </c>
      <c r="E11" s="23" t="n">
        <f aca="false">C11/D11</f>
        <v>0.0686487387869561</v>
      </c>
      <c r="F11" s="11" t="n">
        <v>2209999.92</v>
      </c>
      <c r="G11" s="11" t="n">
        <v>31014666.15</v>
      </c>
      <c r="H11" s="23" t="n">
        <f aca="false">F11/G11</f>
        <v>0.0712566083836437</v>
      </c>
      <c r="I11" s="12" t="n">
        <f aca="false">SUMIFS('4a Revenue quality'!$F$7:$F$10,'4a Revenue quality'!$A$7:$A$10,A11)</f>
        <v>32192869.95</v>
      </c>
      <c r="J11" s="15" t="b">
        <f aca="false">AND(ABS(D11-I11)&lt;0.005,E11&gt;0,E11&lt;=1)</f>
        <v>1</v>
      </c>
    </row>
    <row r="12" customFormat="false" ht="15" hidden="false" customHeight="false" outlineLevel="0" collapsed="false">
      <c r="A12" s="21" t="n">
        <v>2023</v>
      </c>
      <c r="B12" s="21" t="n">
        <v>5</v>
      </c>
      <c r="C12" s="11" t="n">
        <v>8465000.04</v>
      </c>
      <c r="D12" s="11" t="n">
        <v>32192869.95</v>
      </c>
      <c r="E12" s="23" t="n">
        <f aca="false">C12/D12</f>
        <v>0.262946424259388</v>
      </c>
      <c r="F12" s="11" t="n">
        <v>8465000.04</v>
      </c>
      <c r="G12" s="11" t="n">
        <v>31014666.15</v>
      </c>
      <c r="H12" s="23" t="n">
        <f aca="false">F12/G12</f>
        <v>0.272935391245538</v>
      </c>
      <c r="I12" s="12" t="n">
        <f aca="false">SUMIFS('4a Revenue quality'!$F$7:$F$10,'4a Revenue quality'!$A$7:$A$10,A12)</f>
        <v>32192869.95</v>
      </c>
      <c r="J12" s="15" t="b">
        <f aca="false">AND(ABS(D12-I12)&lt;0.005,E12&gt;0,E12&lt;=1)</f>
        <v>1</v>
      </c>
    </row>
    <row r="13" customFormat="false" ht="15" hidden="false" customHeight="false" outlineLevel="0" collapsed="false">
      <c r="A13" s="21" t="n">
        <v>2023</v>
      </c>
      <c r="B13" s="21" t="n">
        <v>10</v>
      </c>
      <c r="C13" s="11" t="n">
        <v>9580880.47</v>
      </c>
      <c r="D13" s="11" t="n">
        <v>32192869.95</v>
      </c>
      <c r="E13" s="23" t="n">
        <f aca="false">C13/D13</f>
        <v>0.297608771286326</v>
      </c>
      <c r="F13" s="11" t="n">
        <v>9561310.09</v>
      </c>
      <c r="G13" s="11" t="n">
        <v>31014666.15</v>
      </c>
      <c r="H13" s="23" t="n">
        <f aca="false">F13/G13</f>
        <v>0.308283508316919</v>
      </c>
      <c r="I13" s="12" t="n">
        <f aca="false">SUMIFS('4a Revenue quality'!$F$7:$F$10,'4a Revenue quality'!$A$7:$A$10,A13)</f>
        <v>32192869.95</v>
      </c>
      <c r="J13" s="15" t="b">
        <f aca="false">AND(ABS(D13-I13)&lt;0.005,E13&gt;0,E13&lt;=1)</f>
        <v>1</v>
      </c>
    </row>
    <row r="14" customFormat="false" ht="15" hidden="false" customHeight="false" outlineLevel="0" collapsed="false">
      <c r="A14" s="21" t="n">
        <v>2023</v>
      </c>
      <c r="B14" s="21" t="n">
        <v>20</v>
      </c>
      <c r="C14" s="11" t="n">
        <v>10048874.89</v>
      </c>
      <c r="D14" s="11" t="n">
        <v>32192869.95</v>
      </c>
      <c r="E14" s="23" t="n">
        <f aca="false">C14/D14</f>
        <v>0.312145978460675</v>
      </c>
      <c r="F14" s="11" t="n">
        <v>10020724.77</v>
      </c>
      <c r="G14" s="11" t="n">
        <v>31014666.15</v>
      </c>
      <c r="H14" s="23" t="n">
        <f aca="false">F14/G14</f>
        <v>0.323096328734785</v>
      </c>
      <c r="I14" s="12" t="n">
        <f aca="false">SUMIFS('4a Revenue quality'!$F$7:$F$10,'4a Revenue quality'!$A$7:$A$10,A14)</f>
        <v>32192869.95</v>
      </c>
      <c r="J14" s="15" t="b">
        <f aca="false">AND(ABS(D14-I14)&lt;0.005,E14&gt;0,E14&lt;=1)</f>
        <v>1</v>
      </c>
    </row>
    <row r="15" customFormat="false" ht="15" hidden="false" customHeight="false" outlineLevel="0" collapsed="false">
      <c r="A15" s="21" t="n">
        <v>2024</v>
      </c>
      <c r="B15" s="21" t="n">
        <v>1</v>
      </c>
      <c r="C15" s="11" t="n">
        <v>2320499.88</v>
      </c>
      <c r="D15" s="11" t="n">
        <v>37258898.51</v>
      </c>
      <c r="E15" s="23" t="n">
        <f aca="false">C15/D15</f>
        <v>0.0622804208604609</v>
      </c>
      <c r="F15" s="11" t="n">
        <v>2320499.88</v>
      </c>
      <c r="G15" s="11" t="n">
        <v>36114683.69</v>
      </c>
      <c r="H15" s="23" t="n">
        <f aca="false">F15/G15</f>
        <v>0.0642536398745349</v>
      </c>
      <c r="I15" s="12" t="n">
        <f aca="false">SUMIFS('4a Revenue quality'!$F$7:$F$10,'4a Revenue quality'!$A$7:$A$10,A15)</f>
        <v>37258898.51</v>
      </c>
      <c r="J15" s="15" t="b">
        <f aca="false">AND(ABS(D15-I15)&lt;0.005,E15&gt;0,E15&lt;=1)</f>
        <v>1</v>
      </c>
    </row>
    <row r="16" customFormat="false" ht="15" hidden="false" customHeight="false" outlineLevel="0" collapsed="false">
      <c r="A16" s="21" t="n">
        <v>2024</v>
      </c>
      <c r="B16" s="21" t="n">
        <v>5</v>
      </c>
      <c r="C16" s="11" t="n">
        <v>8777999.88</v>
      </c>
      <c r="D16" s="11" t="n">
        <v>37258898.51</v>
      </c>
      <c r="E16" s="23" t="n">
        <f aca="false">C16/D16</f>
        <v>0.235594723167784</v>
      </c>
      <c r="F16" s="11" t="n">
        <v>8777999.88</v>
      </c>
      <c r="G16" s="11" t="n">
        <v>36114683.69</v>
      </c>
      <c r="H16" s="23" t="n">
        <f aca="false">F16/G16</f>
        <v>0.243059027052495</v>
      </c>
      <c r="I16" s="12" t="n">
        <f aca="false">SUMIFS('4a Revenue quality'!$F$7:$F$10,'4a Revenue quality'!$A$7:$A$10,A16)</f>
        <v>37258898.51</v>
      </c>
      <c r="J16" s="15" t="b">
        <f aca="false">AND(ABS(D16-I16)&lt;0.005,E16&gt;0,E16&lt;=1)</f>
        <v>1</v>
      </c>
    </row>
    <row r="17" customFormat="false" ht="15" hidden="false" customHeight="false" outlineLevel="0" collapsed="false">
      <c r="A17" s="21" t="n">
        <v>2024</v>
      </c>
      <c r="B17" s="21" t="n">
        <v>10</v>
      </c>
      <c r="C17" s="11" t="n">
        <v>9930371.27</v>
      </c>
      <c r="D17" s="11" t="n">
        <v>37258898.51</v>
      </c>
      <c r="E17" s="23" t="n">
        <f aca="false">C17/D17</f>
        <v>0.266523479413509</v>
      </c>
      <c r="F17" s="11" t="n">
        <v>9930371.27</v>
      </c>
      <c r="G17" s="11" t="n">
        <v>36114683.69</v>
      </c>
      <c r="H17" s="23" t="n">
        <f aca="false">F17/G17</f>
        <v>0.274967693341578</v>
      </c>
      <c r="I17" s="12" t="n">
        <f aca="false">SUMIFS('4a Revenue quality'!$F$7:$F$10,'4a Revenue quality'!$A$7:$A$10,A17)</f>
        <v>37258898.51</v>
      </c>
      <c r="J17" s="15" t="b">
        <f aca="false">AND(ABS(D17-I17)&lt;0.005,E17&gt;0,E17&lt;=1)</f>
        <v>1</v>
      </c>
    </row>
    <row r="18" customFormat="false" ht="15" hidden="false" customHeight="false" outlineLevel="0" collapsed="false">
      <c r="A18" s="21" t="n">
        <v>2024</v>
      </c>
      <c r="B18" s="21" t="n">
        <v>20</v>
      </c>
      <c r="C18" s="11" t="n">
        <v>10423581.78</v>
      </c>
      <c r="D18" s="11" t="n">
        <v>37258898.51</v>
      </c>
      <c r="E18" s="23" t="n">
        <f aca="false">C18/D18</f>
        <v>0.279760867788467</v>
      </c>
      <c r="F18" s="11" t="n">
        <v>10423079.78</v>
      </c>
      <c r="G18" s="11" t="n">
        <v>36114683.69</v>
      </c>
      <c r="H18" s="23" t="n">
        <f aca="false">F18/G18</f>
        <v>0.288610579272112</v>
      </c>
      <c r="I18" s="12" t="n">
        <f aca="false">SUMIFS('4a Revenue quality'!$F$7:$F$10,'4a Revenue quality'!$A$7:$A$10,A18)</f>
        <v>37258898.51</v>
      </c>
      <c r="J18" s="15" t="b">
        <f aca="false">AND(ABS(D18-I18)&lt;0.005,E18&gt;0,E18&lt;=1)</f>
        <v>1</v>
      </c>
    </row>
    <row r="19" customFormat="false" ht="15" hidden="false" customHeight="false" outlineLevel="0" collapsed="false">
      <c r="A19" s="21" t="n">
        <v>2025</v>
      </c>
      <c r="B19" s="21" t="n">
        <v>1</v>
      </c>
      <c r="C19" s="11" t="n">
        <v>2100944.88</v>
      </c>
      <c r="D19" s="11" t="n">
        <v>45756419.35</v>
      </c>
      <c r="E19" s="23" t="n">
        <f aca="false">C19/D19</f>
        <v>0.0459158498380184</v>
      </c>
      <c r="F19" s="11" t="n">
        <v>2100944.88</v>
      </c>
      <c r="G19" s="11" t="n">
        <v>40475097.15</v>
      </c>
      <c r="H19" s="23" t="n">
        <f aca="false">F19/G19</f>
        <v>0.0519070991284823</v>
      </c>
      <c r="I19" s="12" t="n">
        <f aca="false">SUMIFS('4a Revenue quality'!$F$7:$F$10,'4a Revenue quality'!$A$7:$A$10,A19)</f>
        <v>45756419.35</v>
      </c>
      <c r="J19" s="15" t="b">
        <f aca="false">AND(ABS(D19-I19)&lt;0.005,E19&gt;0,E19&lt;=1)</f>
        <v>1</v>
      </c>
    </row>
    <row r="20" customFormat="false" ht="15" hidden="false" customHeight="false" outlineLevel="0" collapsed="false">
      <c r="A20" s="21" t="n">
        <v>2025</v>
      </c>
      <c r="B20" s="21" t="n">
        <v>5</v>
      </c>
      <c r="C20" s="11" t="n">
        <v>8521747.5</v>
      </c>
      <c r="D20" s="11" t="n">
        <v>45756419.35</v>
      </c>
      <c r="E20" s="23" t="n">
        <f aca="false">C20/D20</f>
        <v>0.186241572681102</v>
      </c>
      <c r="F20" s="11" t="n">
        <v>8521747.5</v>
      </c>
      <c r="G20" s="11" t="n">
        <v>40475097.15</v>
      </c>
      <c r="H20" s="23" t="n">
        <f aca="false">F20/G20</f>
        <v>0.210542978276706</v>
      </c>
      <c r="I20" s="12" t="n">
        <f aca="false">SUMIFS('4a Revenue quality'!$F$7:$F$10,'4a Revenue quality'!$A$7:$A$10,A20)</f>
        <v>45756419.35</v>
      </c>
      <c r="J20" s="15" t="b">
        <f aca="false">AND(ABS(D20-I20)&lt;0.005,E20&gt;0,E20&lt;=1)</f>
        <v>1</v>
      </c>
    </row>
    <row r="21" customFormat="false" ht="15" hidden="false" customHeight="false" outlineLevel="0" collapsed="false">
      <c r="A21" s="21" t="n">
        <v>2025</v>
      </c>
      <c r="B21" s="21" t="n">
        <v>10</v>
      </c>
      <c r="C21" s="11" t="n">
        <v>10221364.94</v>
      </c>
      <c r="D21" s="11" t="n">
        <v>45756419.35</v>
      </c>
      <c r="E21" s="23" t="n">
        <f aca="false">C21/D21</f>
        <v>0.223386468722885</v>
      </c>
      <c r="F21" s="11" t="n">
        <v>9754305.43</v>
      </c>
      <c r="G21" s="11" t="n">
        <v>40475097.15</v>
      </c>
      <c r="H21" s="23" t="n">
        <f aca="false">F21/G21</f>
        <v>0.24099523205221</v>
      </c>
      <c r="I21" s="12" t="n">
        <f aca="false">SUMIFS('4a Revenue quality'!$F$7:$F$10,'4a Revenue quality'!$A$7:$A$10,A21)</f>
        <v>45756419.35</v>
      </c>
      <c r="J21" s="15" t="b">
        <f aca="false">AND(ABS(D21-I21)&lt;0.005,E21&gt;0,E21&lt;=1)</f>
        <v>1</v>
      </c>
    </row>
    <row r="22" customFormat="false" ht="15" hidden="false" customHeight="false" outlineLevel="0" collapsed="false">
      <c r="A22" s="21" t="n">
        <v>2025</v>
      </c>
      <c r="B22" s="21" t="n">
        <v>20</v>
      </c>
      <c r="C22" s="11" t="n">
        <v>11683512.19</v>
      </c>
      <c r="D22" s="11" t="n">
        <v>45756419.35</v>
      </c>
      <c r="E22" s="23" t="n">
        <f aca="false">C22/D22</f>
        <v>0.255341487729415</v>
      </c>
      <c r="F22" s="11" t="n">
        <v>10285384.18</v>
      </c>
      <c r="G22" s="11" t="n">
        <v>40475097.15</v>
      </c>
      <c r="H22" s="23" t="n">
        <f aca="false">F22/G22</f>
        <v>0.254116355592244</v>
      </c>
      <c r="I22" s="12" t="n">
        <f aca="false">SUMIFS('4a Revenue quality'!$F$7:$F$10,'4a Revenue quality'!$A$7:$A$10,A22)</f>
        <v>45756419.35</v>
      </c>
      <c r="J22" s="15" t="b">
        <f aca="false">AND(ABS(D22-I22)&lt;0.005,E22&gt;0,E22&lt;=1)</f>
        <v>1</v>
      </c>
    </row>
    <row r="24" customFormat="false" ht="15" hidden="false" customHeight="true" outlineLevel="0" collapsed="false">
      <c r="A24" s="8" t="s">
        <v>198</v>
      </c>
      <c r="M24" s="22" t="s">
        <v>199</v>
      </c>
      <c r="N24" s="22"/>
      <c r="O24" s="22"/>
      <c r="P24" s="22"/>
      <c r="Q24" s="22"/>
      <c r="R24" s="22"/>
      <c r="S24" s="22"/>
      <c r="T24" s="22"/>
      <c r="U24" s="22"/>
    </row>
    <row r="25" customFormat="false" ht="30" hidden="false" customHeight="true" outlineLevel="0" collapsed="false">
      <c r="A25" s="4" t="s">
        <v>114</v>
      </c>
      <c r="B25" s="4" t="s">
        <v>200</v>
      </c>
      <c r="C25" s="4" t="s">
        <v>201</v>
      </c>
      <c r="D25" s="4" t="s">
        <v>202</v>
      </c>
      <c r="E25" s="4" t="s">
        <v>203</v>
      </c>
      <c r="M25" s="22"/>
      <c r="N25" s="22"/>
      <c r="O25" s="22"/>
      <c r="P25" s="22"/>
      <c r="Q25" s="22"/>
      <c r="R25" s="22"/>
      <c r="S25" s="22"/>
      <c r="T25" s="22"/>
      <c r="U25" s="22"/>
    </row>
    <row r="26" customFormat="false" ht="15" hidden="false" customHeight="false" outlineLevel="0" collapsed="false">
      <c r="A26" s="9" t="s">
        <v>57</v>
      </c>
      <c r="B26" s="23" t="n">
        <f aca="false">SUMIFS($E$7:$E$22,$A$7:$A$22,2022,$B$7:$B$22,1)</f>
        <v>0.0767741668307361</v>
      </c>
      <c r="C26" s="23" t="n">
        <f aca="false">SUMIFS($E$7:$E$22,$A$7:$A$22,2022,$B$7:$B$22,5)</f>
        <v>0.297843046014469</v>
      </c>
      <c r="D26" s="23" t="n">
        <f aca="false">SUMIFS($E$7:$E$22,$A$7:$A$22,2022,$B$7:$B$22,10)</f>
        <v>0.334238308164599</v>
      </c>
      <c r="E26" s="23" t="n">
        <f aca="false">SUMIFS($E$7:$E$22,$A$7:$A$22,2022,$B$7:$B$22,20)</f>
        <v>0.350362907727709</v>
      </c>
      <c r="M26" s="22"/>
      <c r="N26" s="22"/>
      <c r="O26" s="22"/>
      <c r="P26" s="22"/>
      <c r="Q26" s="22"/>
      <c r="R26" s="22"/>
      <c r="S26" s="22"/>
      <c r="T26" s="22"/>
      <c r="U26" s="22"/>
    </row>
    <row r="27" customFormat="false" ht="15" hidden="false" customHeight="false" outlineLevel="0" collapsed="false">
      <c r="A27" s="9" t="s">
        <v>58</v>
      </c>
      <c r="B27" s="23" t="n">
        <f aca="false">SUMIFS($E$7:$E$22,$A$7:$A$22,2023,$B$7:$B$22,1)</f>
        <v>0.0686487387869561</v>
      </c>
      <c r="C27" s="23" t="n">
        <f aca="false">SUMIFS($E$7:$E$22,$A$7:$A$22,2023,$B$7:$B$22,5)</f>
        <v>0.262946424259388</v>
      </c>
      <c r="D27" s="23" t="n">
        <f aca="false">SUMIFS($E$7:$E$22,$A$7:$A$22,2023,$B$7:$B$22,10)</f>
        <v>0.297608771286326</v>
      </c>
      <c r="E27" s="23" t="n">
        <f aca="false">SUMIFS($E$7:$E$22,$A$7:$A$22,2023,$B$7:$B$22,20)</f>
        <v>0.312145978460675</v>
      </c>
      <c r="M27" s="22"/>
      <c r="N27" s="22"/>
      <c r="O27" s="22"/>
      <c r="P27" s="22"/>
      <c r="Q27" s="22"/>
      <c r="R27" s="22"/>
      <c r="S27" s="22"/>
      <c r="T27" s="22"/>
      <c r="U27" s="22"/>
    </row>
    <row r="28" customFormat="false" ht="15" hidden="false" customHeight="false" outlineLevel="0" collapsed="false">
      <c r="A28" s="9" t="s">
        <v>59</v>
      </c>
      <c r="B28" s="23" t="n">
        <f aca="false">SUMIFS($E$7:$E$22,$A$7:$A$22,2024,$B$7:$B$22,1)</f>
        <v>0.0622804208604609</v>
      </c>
      <c r="C28" s="23" t="n">
        <f aca="false">SUMIFS($E$7:$E$22,$A$7:$A$22,2024,$B$7:$B$22,5)</f>
        <v>0.235594723167784</v>
      </c>
      <c r="D28" s="23" t="n">
        <f aca="false">SUMIFS($E$7:$E$22,$A$7:$A$22,2024,$B$7:$B$22,10)</f>
        <v>0.266523479413509</v>
      </c>
      <c r="E28" s="23" t="n">
        <f aca="false">SUMIFS($E$7:$E$22,$A$7:$A$22,2024,$B$7:$B$22,20)</f>
        <v>0.279760867788467</v>
      </c>
      <c r="M28" s="22"/>
      <c r="N28" s="22"/>
      <c r="O28" s="22"/>
      <c r="P28" s="22"/>
      <c r="Q28" s="22"/>
      <c r="R28" s="22"/>
      <c r="S28" s="22"/>
      <c r="T28" s="22"/>
      <c r="U28" s="22"/>
    </row>
    <row r="29" customFormat="false" ht="15" hidden="false" customHeight="false" outlineLevel="0" collapsed="false">
      <c r="A29" s="9" t="s">
        <v>60</v>
      </c>
      <c r="B29" s="23" t="n">
        <f aca="false">SUMIFS($E$7:$E$22,$A$7:$A$22,2025,$B$7:$B$22,1)</f>
        <v>0.0459158498380184</v>
      </c>
      <c r="C29" s="23" t="n">
        <f aca="false">SUMIFS($E$7:$E$22,$A$7:$A$22,2025,$B$7:$B$22,5)</f>
        <v>0.186241572681102</v>
      </c>
      <c r="D29" s="23" t="n">
        <f aca="false">SUMIFS($E$7:$E$22,$A$7:$A$22,2025,$B$7:$B$22,10)</f>
        <v>0.223386468722885</v>
      </c>
      <c r="E29" s="23" t="n">
        <f aca="false">SUMIFS($E$7:$E$22,$A$7:$A$22,2025,$B$7:$B$22,20)</f>
        <v>0.255341487729415</v>
      </c>
      <c r="M29" s="22"/>
      <c r="N29" s="22"/>
      <c r="O29" s="22"/>
      <c r="P29" s="22"/>
      <c r="Q29" s="22"/>
      <c r="R29" s="22"/>
      <c r="S29" s="22"/>
      <c r="T29" s="22"/>
      <c r="U29" s="22"/>
    </row>
    <row r="30" customFormat="false" ht="15" hidden="false" customHeight="false" outlineLevel="0" collapsed="false">
      <c r="M30" s="22"/>
      <c r="N30" s="22"/>
      <c r="O30" s="22"/>
      <c r="P30" s="22"/>
      <c r="Q30" s="22"/>
      <c r="R30" s="22"/>
      <c r="S30" s="22"/>
      <c r="T30" s="22"/>
      <c r="U30" s="22"/>
    </row>
    <row r="31" customFormat="false" ht="15" hidden="false" customHeight="false" outlineLevel="0" collapsed="false">
      <c r="A31" s="8" t="s">
        <v>204</v>
      </c>
      <c r="M31" s="22"/>
      <c r="N31" s="22"/>
      <c r="O31" s="22"/>
      <c r="P31" s="22"/>
      <c r="Q31" s="22"/>
      <c r="R31" s="22"/>
      <c r="S31" s="22"/>
      <c r="T31" s="22"/>
      <c r="U31" s="22"/>
    </row>
    <row r="32" customFormat="false" ht="30" hidden="false" customHeight="true" outlineLevel="0" collapsed="false">
      <c r="A32" s="4" t="s">
        <v>114</v>
      </c>
      <c r="B32" s="4" t="s">
        <v>205</v>
      </c>
      <c r="C32" s="4" t="s">
        <v>192</v>
      </c>
      <c r="D32" s="4" t="s">
        <v>206</v>
      </c>
      <c r="M32" s="22"/>
      <c r="N32" s="22"/>
      <c r="O32" s="22"/>
      <c r="P32" s="22"/>
      <c r="Q32" s="22"/>
      <c r="R32" s="22"/>
      <c r="S32" s="22"/>
      <c r="T32" s="22"/>
      <c r="U32" s="22"/>
    </row>
    <row r="33" customFormat="false" ht="15" hidden="false" customHeight="false" outlineLevel="0" collapsed="false">
      <c r="A33" s="21" t="n">
        <v>2022</v>
      </c>
      <c r="B33" s="11" t="n">
        <v>9245000.04</v>
      </c>
      <c r="C33" s="11" t="n">
        <v>28232151.64</v>
      </c>
      <c r="D33" s="23" t="n">
        <f aca="false">B33/C33</f>
        <v>0.327463530158341</v>
      </c>
      <c r="M33" s="22"/>
      <c r="N33" s="22"/>
      <c r="O33" s="22"/>
      <c r="P33" s="22"/>
      <c r="Q33" s="22"/>
      <c r="R33" s="22"/>
      <c r="S33" s="22"/>
      <c r="T33" s="22"/>
      <c r="U33" s="22"/>
    </row>
    <row r="34" customFormat="false" ht="15" hidden="false" customHeight="false" outlineLevel="0" collapsed="false">
      <c r="A34" s="21" t="n">
        <v>2023</v>
      </c>
      <c r="B34" s="11" t="n">
        <v>9365000.04</v>
      </c>
      <c r="C34" s="11" t="n">
        <v>32192869.95</v>
      </c>
      <c r="D34" s="23" t="n">
        <f aca="false">B34/C34</f>
        <v>0.290902925229877</v>
      </c>
      <c r="M34" s="22"/>
      <c r="N34" s="22"/>
      <c r="O34" s="22"/>
      <c r="P34" s="22"/>
      <c r="Q34" s="22"/>
      <c r="R34" s="22"/>
      <c r="S34" s="22"/>
      <c r="T34" s="22"/>
      <c r="U34" s="22"/>
    </row>
    <row r="35" customFormat="false" ht="15" hidden="false" customHeight="false" outlineLevel="0" collapsed="false">
      <c r="A35" s="21" t="n">
        <v>2024</v>
      </c>
      <c r="B35" s="11" t="n">
        <v>9722999.88</v>
      </c>
      <c r="C35" s="11" t="n">
        <v>37258898.51</v>
      </c>
      <c r="D35" s="23" t="n">
        <f aca="false">B35/C35</f>
        <v>0.260957791798124</v>
      </c>
      <c r="M35" s="22"/>
      <c r="N35" s="22"/>
      <c r="O35" s="22"/>
      <c r="P35" s="22"/>
      <c r="Q35" s="22"/>
      <c r="R35" s="22"/>
      <c r="S35" s="22"/>
      <c r="T35" s="22"/>
      <c r="U35" s="22"/>
    </row>
    <row r="36" customFormat="false" ht="15" hidden="false" customHeight="false" outlineLevel="0" collapsed="false">
      <c r="A36" s="21" t="n">
        <v>2025</v>
      </c>
      <c r="B36" s="11" t="n">
        <v>9532897.62</v>
      </c>
      <c r="C36" s="11" t="n">
        <v>45756419.35</v>
      </c>
      <c r="D36" s="23" t="n">
        <f aca="false">B36/C36</f>
        <v>0.208340113921086</v>
      </c>
      <c r="M36" s="22"/>
      <c r="N36" s="22"/>
      <c r="O36" s="22"/>
      <c r="P36" s="22"/>
      <c r="Q36" s="22"/>
      <c r="R36" s="22"/>
      <c r="S36" s="22"/>
      <c r="T36" s="22"/>
      <c r="U36" s="22"/>
    </row>
    <row r="37" customFormat="false" ht="15" hidden="false" customHeight="false" outlineLevel="0" collapsed="false">
      <c r="M37" s="22"/>
      <c r="N37" s="22"/>
      <c r="O37" s="22"/>
      <c r="P37" s="22"/>
      <c r="Q37" s="22"/>
      <c r="R37" s="22"/>
      <c r="S37" s="22"/>
      <c r="T37" s="22"/>
      <c r="U37" s="22"/>
    </row>
    <row r="38" customFormat="false" ht="15" hidden="false" customHeight="false" outlineLevel="0" collapsed="false">
      <c r="A38" s="8" t="s">
        <v>207</v>
      </c>
    </row>
    <row r="39" customFormat="false" ht="30" hidden="false" customHeight="true" outlineLevel="0" collapsed="false">
      <c r="A39" s="4" t="s">
        <v>208</v>
      </c>
      <c r="B39" s="4" t="s">
        <v>209</v>
      </c>
      <c r="C39" s="4" t="s">
        <v>210</v>
      </c>
      <c r="D39" s="4" t="s">
        <v>211</v>
      </c>
      <c r="E39" s="4" t="s">
        <v>212</v>
      </c>
      <c r="F39" s="4" t="s">
        <v>213</v>
      </c>
      <c r="G39" s="4" t="s">
        <v>214</v>
      </c>
      <c r="H39" s="4" t="s">
        <v>215</v>
      </c>
      <c r="I39" s="4" t="s">
        <v>216</v>
      </c>
      <c r="J39" s="4" t="s">
        <v>217</v>
      </c>
    </row>
    <row r="40" customFormat="false" ht="15" hidden="false" customHeight="false" outlineLevel="0" collapsed="false">
      <c r="A40" s="21" t="n">
        <v>1</v>
      </c>
      <c r="B40" s="9" t="s">
        <v>218</v>
      </c>
      <c r="C40" s="11" t="n">
        <v>2320499.88</v>
      </c>
      <c r="D40" s="11" t="n">
        <v>1336964.88</v>
      </c>
      <c r="E40" s="12" t="n">
        <f aca="false">D40-C40</f>
        <v>-983535</v>
      </c>
      <c r="F40" s="23" t="n">
        <f aca="false">IF(C40=0,0,E40/C40)</f>
        <v>-0.423846175764508</v>
      </c>
      <c r="G40" s="11" t="n">
        <v>2482934.88</v>
      </c>
      <c r="H40" s="12" t="n">
        <f aca="false">D40-G40</f>
        <v>-1145970</v>
      </c>
      <c r="I40" s="23" t="n">
        <f aca="false">IF(G40=0,0,H40/G40)</f>
        <v>-0.46153848384457</v>
      </c>
      <c r="J40" s="26" t="str">
        <f aca="false">IF(E40&lt;0,"yes","no")</f>
        <v>yes</v>
      </c>
    </row>
    <row r="41" customFormat="false" ht="15" hidden="false" customHeight="false" outlineLevel="0" collapsed="false">
      <c r="A41" s="21" t="n">
        <v>2</v>
      </c>
      <c r="B41" s="9" t="s">
        <v>219</v>
      </c>
      <c r="C41" s="11" t="n">
        <v>1890000</v>
      </c>
      <c r="D41" s="11" t="n">
        <v>2022300</v>
      </c>
      <c r="E41" s="12" t="n">
        <f aca="false">D41-C41</f>
        <v>132300</v>
      </c>
      <c r="F41" s="23" t="n">
        <f aca="false">IF(C41=0,0,E41/C41)</f>
        <v>0.07</v>
      </c>
      <c r="G41" s="11" t="n">
        <v>2022300</v>
      </c>
      <c r="H41" s="12" t="n">
        <f aca="false">D41-G41</f>
        <v>0</v>
      </c>
      <c r="I41" s="23" t="n">
        <f aca="false">IF(G41=0,0,H41/G41)</f>
        <v>0</v>
      </c>
      <c r="J41" s="26" t="str">
        <f aca="false">IF(E41&lt;0,"yes","no")</f>
        <v>no</v>
      </c>
    </row>
    <row r="42" customFormat="false" ht="15" hidden="false" customHeight="false" outlineLevel="0" collapsed="false">
      <c r="A42" s="21" t="n">
        <v>3</v>
      </c>
      <c r="B42" s="9" t="s">
        <v>220</v>
      </c>
      <c r="C42" s="11" t="n">
        <v>2052750</v>
      </c>
      <c r="D42" s="11" t="n">
        <v>1808835</v>
      </c>
      <c r="E42" s="12" t="n">
        <f aca="false">D42-C42</f>
        <v>-243915</v>
      </c>
      <c r="F42" s="23" t="n">
        <f aca="false">IF(C42=0,0,E42/C42)</f>
        <v>-0.118823529411765</v>
      </c>
      <c r="G42" s="11" t="n">
        <v>2196442.56</v>
      </c>
      <c r="H42" s="12" t="n">
        <f aca="false">D42-G42</f>
        <v>-387607.56</v>
      </c>
      <c r="I42" s="23" t="n">
        <f aca="false">IF(G42=0,0,H42/G42)</f>
        <v>-0.176470610731564</v>
      </c>
      <c r="J42" s="26" t="str">
        <f aca="false">IF(E42&lt;0,"yes","no")</f>
        <v>yes</v>
      </c>
    </row>
    <row r="43" customFormat="false" ht="15" hidden="false" customHeight="false" outlineLevel="0" collapsed="false">
      <c r="A43" s="21" t="n">
        <v>4</v>
      </c>
      <c r="B43" s="9" t="s">
        <v>221</v>
      </c>
      <c r="C43" s="11" t="n">
        <v>1249500</v>
      </c>
      <c r="D43" s="11" t="n">
        <v>1336965</v>
      </c>
      <c r="E43" s="12" t="n">
        <f aca="false">D43-C43</f>
        <v>87465</v>
      </c>
      <c r="F43" s="23" t="n">
        <f aca="false">IF(C43=0,0,E43/C43)</f>
        <v>0.07</v>
      </c>
      <c r="G43" s="11" t="n">
        <v>1470000</v>
      </c>
      <c r="H43" s="12" t="n">
        <f aca="false">D43-G43</f>
        <v>-133035</v>
      </c>
      <c r="I43" s="23" t="n">
        <f aca="false">IF(G43=0,0,H43/G43)</f>
        <v>-0.0905</v>
      </c>
      <c r="J43" s="26" t="str">
        <f aca="false">IF(E43&lt;0,"yes","no")</f>
        <v>no</v>
      </c>
    </row>
    <row r="44" customFormat="false" ht="15" hidden="false" customHeight="false" outlineLevel="0" collapsed="false">
      <c r="A44" s="21" t="n">
        <v>5</v>
      </c>
      <c r="B44" s="9" t="s">
        <v>222</v>
      </c>
      <c r="C44" s="11" t="n">
        <v>1155000</v>
      </c>
      <c r="D44" s="11" t="n">
        <v>1235850.12</v>
      </c>
      <c r="E44" s="12" t="n">
        <f aca="false">D44-C44</f>
        <v>80850.1200000001</v>
      </c>
      <c r="F44" s="23" t="n">
        <f aca="false">IF(C44=0,0,E44/C44)</f>
        <v>0.070000103896104</v>
      </c>
      <c r="G44" s="11" t="n">
        <v>1235850.12</v>
      </c>
      <c r="H44" s="12" t="n">
        <f aca="false">D44-G44</f>
        <v>0</v>
      </c>
      <c r="I44" s="23" t="n">
        <f aca="false">IF(G44=0,0,H44/G44)</f>
        <v>0</v>
      </c>
      <c r="J44" s="26" t="str">
        <f aca="false">IF(E44&lt;0,"yes","no")</f>
        <v>no</v>
      </c>
    </row>
    <row r="45" customFormat="false" ht="15" hidden="false" customHeight="false" outlineLevel="0" collapsed="false">
      <c r="A45" s="21" t="n">
        <v>6</v>
      </c>
      <c r="B45" s="9" t="s">
        <v>223</v>
      </c>
      <c r="C45" s="11" t="n">
        <v>945000</v>
      </c>
      <c r="D45" s="11" t="n">
        <v>1011150.12</v>
      </c>
      <c r="E45" s="12" t="n">
        <f aca="false">D45-C45</f>
        <v>66150.12</v>
      </c>
      <c r="F45" s="23" t="n">
        <f aca="false">IF(C45=0,0,E45/C45)</f>
        <v>0.070000126984127</v>
      </c>
      <c r="G45" s="11" t="n">
        <v>1011150.12</v>
      </c>
      <c r="H45" s="12" t="n">
        <f aca="false">D45-G45</f>
        <v>0</v>
      </c>
      <c r="I45" s="23" t="n">
        <f aca="false">IF(G45=0,0,H45/G45)</f>
        <v>0</v>
      </c>
      <c r="J45" s="26" t="str">
        <f aca="false">IF(E45&lt;0,"yes","no")</f>
        <v>no</v>
      </c>
    </row>
    <row r="46" customFormat="false" ht="15" hidden="false" customHeight="false" outlineLevel="0" collapsed="false">
      <c r="A46" s="21" t="n">
        <v>7</v>
      </c>
      <c r="B46" s="9" t="s">
        <v>224</v>
      </c>
      <c r="C46" s="11" t="n">
        <v>42607.2</v>
      </c>
      <c r="D46" s="11" t="n">
        <v>45589.68</v>
      </c>
      <c r="E46" s="12" t="n">
        <f aca="false">D46-C46</f>
        <v>2982.48</v>
      </c>
      <c r="F46" s="23" t="n">
        <f aca="false">IF(C46=0,0,E46/C46)</f>
        <v>0.0699994367149215</v>
      </c>
      <c r="G46" s="11" t="n">
        <v>45589.68</v>
      </c>
      <c r="H46" s="12" t="n">
        <f aca="false">D46-G46</f>
        <v>0</v>
      </c>
      <c r="I46" s="23" t="n">
        <f aca="false">IF(G46=0,0,H46/G46)</f>
        <v>0</v>
      </c>
      <c r="J46" s="26" t="str">
        <f aca="false">IF(E46&lt;0,"yes","no")</f>
        <v>no</v>
      </c>
    </row>
    <row r="47" customFormat="false" ht="15" hidden="false" customHeight="false" outlineLevel="0" collapsed="false">
      <c r="A47" s="21" t="n">
        <v>8</v>
      </c>
      <c r="B47" s="9" t="s">
        <v>225</v>
      </c>
      <c r="C47" s="11" t="n">
        <v>42053.64</v>
      </c>
      <c r="D47" s="11" t="n">
        <v>44997.36</v>
      </c>
      <c r="E47" s="12" t="n">
        <f aca="false">D47-C47</f>
        <v>2943.72</v>
      </c>
      <c r="F47" s="23" t="n">
        <f aca="false">IF(C47=0,0,E47/C47)</f>
        <v>0.0699991724854258</v>
      </c>
      <c r="G47" s="11" t="n">
        <v>44997.36</v>
      </c>
      <c r="H47" s="12" t="n">
        <f aca="false">D47-G47</f>
        <v>0</v>
      </c>
      <c r="I47" s="23" t="n">
        <f aca="false">IF(G47=0,0,H47/G47)</f>
        <v>0</v>
      </c>
      <c r="J47" s="26" t="str">
        <f aca="false">IF(E47&lt;0,"yes","no")</f>
        <v>no</v>
      </c>
    </row>
    <row r="48" customFormat="false" ht="15" hidden="false" customHeight="false" outlineLevel="0" collapsed="false">
      <c r="A48" s="21" t="n">
        <v>9</v>
      </c>
      <c r="B48" s="9" t="s">
        <v>226</v>
      </c>
      <c r="C48" s="11" t="n">
        <v>42140.52</v>
      </c>
      <c r="D48" s="11" t="n">
        <v>45090.36</v>
      </c>
      <c r="E48" s="12" t="n">
        <f aca="false">D48-C48</f>
        <v>2949.84</v>
      </c>
      <c r="F48" s="23" t="n">
        <f aca="false">IF(C48=0,0,E48/C48)</f>
        <v>0.0700000854284666</v>
      </c>
      <c r="G48" s="11" t="n">
        <v>45090.36</v>
      </c>
      <c r="H48" s="12" t="n">
        <f aca="false">D48-G48</f>
        <v>0</v>
      </c>
      <c r="I48" s="23" t="n">
        <f aca="false">IF(G48=0,0,H48/G48)</f>
        <v>0</v>
      </c>
      <c r="J48" s="26" t="str">
        <f aca="false">IF(E48&lt;0,"yes","no")</f>
        <v>no</v>
      </c>
    </row>
    <row r="49" customFormat="false" ht="15" hidden="false" customHeight="false" outlineLevel="0" collapsed="false">
      <c r="A49" s="21" t="n">
        <v>10</v>
      </c>
      <c r="B49" s="9" t="s">
        <v>227</v>
      </c>
      <c r="C49" s="11" t="n">
        <v>23562</v>
      </c>
      <c r="D49" s="11" t="n">
        <v>25211.4</v>
      </c>
      <c r="E49" s="12" t="n">
        <f aca="false">D49-C49</f>
        <v>1649.4</v>
      </c>
      <c r="F49" s="23" t="n">
        <f aca="false">IF(C49=0,0,E49/C49)</f>
        <v>0.0700025464731348</v>
      </c>
      <c r="G49" s="11" t="n">
        <v>25211.4</v>
      </c>
      <c r="H49" s="12" t="n">
        <f aca="false">D49-G49</f>
        <v>0</v>
      </c>
      <c r="I49" s="23" t="n">
        <f aca="false">IF(G49=0,0,H49/G49)</f>
        <v>0</v>
      </c>
      <c r="J49" s="26" t="str">
        <f aca="false">IF(E49&lt;0,"yes","no")</f>
        <v>no</v>
      </c>
    </row>
  </sheetData>
  <mergeCells count="1">
    <mergeCell ref="M24:U37"/>
  </mergeCells>
  <printOptions headings="false" gridLines="false" gridLinesSet="true" horizontalCentered="fals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&amp;C&amp;A</oddHeader>
    <oddFooter>&amp;LProject Northbridge: DRAFT&amp;CPage &amp;P of &amp;N</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L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10" min="2" style="0" width="11"/>
    <col collapsed="false" customWidth="true" hidden="false" outlineLevel="0" max="38" min="11" style="0" width="13"/>
  </cols>
  <sheetData>
    <row r="1" customFormat="false" ht="15" hidden="false" customHeight="false" outlineLevel="0" collapsed="false">
      <c r="A1" s="1" t="s">
        <v>228</v>
      </c>
    </row>
    <row r="2" customFormat="false" ht="15" hidden="false" customHeight="false" outlineLevel="0" collapsed="false">
      <c r="A2" s="2" t="s">
        <v>229</v>
      </c>
    </row>
    <row r="3" customFormat="false" ht="15" hidden="false" customHeight="false" outlineLevel="0" collapsed="false">
      <c r="A3" s="2" t="s">
        <v>230</v>
      </c>
    </row>
    <row r="5" customFormat="false" ht="15" hidden="false" customHeight="false" outlineLevel="0" collapsed="false">
      <c r="A5" s="8" t="s">
        <v>231</v>
      </c>
    </row>
    <row r="6" customFormat="false" ht="30" hidden="false" customHeight="true" outlineLevel="0" collapsed="false">
      <c r="A6" s="4" t="s">
        <v>232</v>
      </c>
      <c r="B6" s="4" t="s">
        <v>233</v>
      </c>
      <c r="C6" s="4" t="s">
        <v>234</v>
      </c>
      <c r="D6" s="4" t="s">
        <v>235</v>
      </c>
      <c r="E6" s="4" t="s">
        <v>236</v>
      </c>
      <c r="F6" s="4" t="s">
        <v>237</v>
      </c>
      <c r="G6" s="4" t="s">
        <v>238</v>
      </c>
      <c r="H6" s="4" t="s">
        <v>239</v>
      </c>
      <c r="I6" s="4" t="s">
        <v>240</v>
      </c>
      <c r="J6" s="4" t="s">
        <v>241</v>
      </c>
    </row>
    <row r="7" customFormat="false" ht="15" hidden="false" customHeight="false" outlineLevel="0" collapsed="false">
      <c r="A7" s="9" t="s">
        <v>242</v>
      </c>
      <c r="B7" s="10" t="n">
        <v>171</v>
      </c>
      <c r="C7" s="10" t="n">
        <v>167</v>
      </c>
      <c r="D7" s="23" t="n">
        <f aca="false">C7/B7</f>
        <v>0.976608187134503</v>
      </c>
      <c r="E7" s="10" t="n">
        <v>171</v>
      </c>
      <c r="F7" s="10" t="n">
        <v>160</v>
      </c>
      <c r="G7" s="23" t="n">
        <f aca="false">F7/E7</f>
        <v>0.935672514619883</v>
      </c>
      <c r="H7" s="10" t="n">
        <v>171</v>
      </c>
      <c r="I7" s="10" t="n">
        <v>152</v>
      </c>
      <c r="J7" s="23" t="n">
        <f aca="false">I7/H7</f>
        <v>0.888888888888889</v>
      </c>
    </row>
    <row r="8" customFormat="false" ht="15" hidden="false" customHeight="false" outlineLevel="0" collapsed="false">
      <c r="A8" s="9" t="s">
        <v>243</v>
      </c>
      <c r="B8" s="10" t="n">
        <v>188</v>
      </c>
      <c r="C8" s="10" t="n">
        <v>185</v>
      </c>
      <c r="D8" s="23" t="n">
        <f aca="false">C8/B8</f>
        <v>0.984042553191489</v>
      </c>
      <c r="E8" s="10" t="n">
        <v>188</v>
      </c>
      <c r="F8" s="10" t="n">
        <v>180</v>
      </c>
      <c r="G8" s="23" t="n">
        <f aca="false">F8/E8</f>
        <v>0.957446808510638</v>
      </c>
      <c r="H8" s="10" t="n">
        <v>188</v>
      </c>
      <c r="I8" s="10" t="n">
        <v>174</v>
      </c>
      <c r="J8" s="23" t="n">
        <f aca="false">I8/H8</f>
        <v>0.925531914893617</v>
      </c>
    </row>
    <row r="9" customFormat="false" ht="15" hidden="false" customHeight="false" outlineLevel="0" collapsed="false">
      <c r="A9" s="9" t="s">
        <v>244</v>
      </c>
      <c r="B9" s="10" t="n">
        <v>205</v>
      </c>
      <c r="C9" s="10" t="n">
        <v>199</v>
      </c>
      <c r="D9" s="23" t="n">
        <f aca="false">C9/B9</f>
        <v>0.970731707317073</v>
      </c>
      <c r="E9" s="10" t="n">
        <v>205</v>
      </c>
      <c r="F9" s="10" t="n">
        <v>189</v>
      </c>
      <c r="G9" s="23" t="n">
        <f aca="false">F9/E9</f>
        <v>0.921951219512195</v>
      </c>
      <c r="H9" s="10" t="n">
        <v>205</v>
      </c>
      <c r="I9" s="10" t="n">
        <v>180</v>
      </c>
      <c r="J9" s="23" t="n">
        <f aca="false">I9/H9</f>
        <v>0.878048780487805</v>
      </c>
    </row>
    <row r="10" customFormat="false" ht="15" hidden="false" customHeight="false" outlineLevel="0" collapsed="false">
      <c r="A10" s="9" t="s">
        <v>245</v>
      </c>
      <c r="B10" s="10" t="n">
        <v>218</v>
      </c>
      <c r="C10" s="10" t="n">
        <v>209</v>
      </c>
      <c r="D10" s="23" t="n">
        <f aca="false">C10/B10</f>
        <v>0.958715596330275</v>
      </c>
      <c r="E10" s="10" t="n">
        <v>218</v>
      </c>
      <c r="F10" s="10" t="n">
        <v>202</v>
      </c>
      <c r="G10" s="23" t="n">
        <f aca="false">F10/E10</f>
        <v>0.926605504587156</v>
      </c>
      <c r="H10" s="10" t="n">
        <v>218</v>
      </c>
      <c r="I10" s="10" t="n">
        <v>194</v>
      </c>
      <c r="J10" s="23" t="n">
        <f aca="false">I10/H10</f>
        <v>0.889908256880734</v>
      </c>
    </row>
    <row r="11" customFormat="false" ht="15" hidden="false" customHeight="false" outlineLevel="0" collapsed="false">
      <c r="A11" s="9" t="s">
        <v>246</v>
      </c>
      <c r="B11" s="10" t="n">
        <v>235</v>
      </c>
      <c r="C11" s="10" t="n">
        <v>228</v>
      </c>
      <c r="D11" s="23" t="n">
        <f aca="false">C11/B11</f>
        <v>0.970212765957447</v>
      </c>
      <c r="E11" s="10" t="n">
        <v>235</v>
      </c>
      <c r="F11" s="10" t="n">
        <v>212</v>
      </c>
      <c r="G11" s="23" t="n">
        <f aca="false">F11/E11</f>
        <v>0.902127659574468</v>
      </c>
      <c r="H11" s="10" t="n">
        <v>235</v>
      </c>
      <c r="I11" s="10" t="n">
        <v>202</v>
      </c>
      <c r="J11" s="23" t="n">
        <f aca="false">I11/H11</f>
        <v>0.859574468085106</v>
      </c>
    </row>
    <row r="12" customFormat="false" ht="15" hidden="false" customHeight="false" outlineLevel="0" collapsed="false">
      <c r="A12" s="9" t="s">
        <v>57</v>
      </c>
      <c r="B12" s="10" t="n">
        <v>242</v>
      </c>
      <c r="C12" s="10" t="n">
        <v>233</v>
      </c>
      <c r="D12" s="23" t="n">
        <f aca="false">C12/B12</f>
        <v>0.962809917355372</v>
      </c>
      <c r="E12" s="10" t="n">
        <v>242</v>
      </c>
      <c r="F12" s="10" t="n">
        <v>222</v>
      </c>
      <c r="G12" s="23" t="n">
        <f aca="false">F12/E12</f>
        <v>0.917355371900827</v>
      </c>
      <c r="H12" s="10" t="n">
        <v>242</v>
      </c>
      <c r="I12" s="10" t="n">
        <v>208</v>
      </c>
      <c r="J12" s="23" t="n">
        <f aca="false">I12/H12</f>
        <v>0.859504132231405</v>
      </c>
    </row>
    <row r="13" customFormat="false" ht="15" hidden="false" customHeight="false" outlineLevel="0" collapsed="false">
      <c r="A13" s="9" t="s">
        <v>58</v>
      </c>
      <c r="B13" s="10" t="n">
        <v>310</v>
      </c>
      <c r="C13" s="10" t="n">
        <v>292</v>
      </c>
      <c r="D13" s="23" t="n">
        <f aca="false">C13/B13</f>
        <v>0.941935483870968</v>
      </c>
      <c r="E13" s="10" t="n">
        <v>310</v>
      </c>
      <c r="F13" s="10" t="n">
        <v>256</v>
      </c>
      <c r="G13" s="23" t="n">
        <f aca="false">F13/E13</f>
        <v>0.825806451612903</v>
      </c>
      <c r="H13" s="10" t="n">
        <v>310</v>
      </c>
      <c r="I13" s="10" t="n">
        <v>233</v>
      </c>
      <c r="J13" s="23" t="n">
        <f aca="false">I13/H13</f>
        <v>0.751612903225806</v>
      </c>
    </row>
    <row r="14" customFormat="false" ht="15" hidden="false" customHeight="false" outlineLevel="0" collapsed="false">
      <c r="A14" s="9" t="s">
        <v>59</v>
      </c>
      <c r="B14" s="10" t="n">
        <v>303</v>
      </c>
      <c r="C14" s="10" t="n">
        <v>273</v>
      </c>
      <c r="D14" s="23" t="n">
        <f aca="false">C14/B14</f>
        <v>0.900990099009901</v>
      </c>
      <c r="E14" s="10" t="n">
        <v>303</v>
      </c>
      <c r="F14" s="10" t="n">
        <v>226</v>
      </c>
      <c r="G14" s="23" t="n">
        <f aca="false">F14/E14</f>
        <v>0.745874587458746</v>
      </c>
      <c r="J14" s="2" t="s">
        <v>247</v>
      </c>
    </row>
    <row r="16" customFormat="false" ht="15" hidden="false" customHeight="false" outlineLevel="0" collapsed="false">
      <c r="A16" s="8" t="s">
        <v>248</v>
      </c>
    </row>
    <row r="17" customFormat="false" ht="30" hidden="false" customHeight="true" outlineLevel="0" collapsed="false">
      <c r="A17" s="4" t="s">
        <v>249</v>
      </c>
      <c r="B17" s="4" t="s">
        <v>250</v>
      </c>
      <c r="C17" s="4" t="s">
        <v>251</v>
      </c>
      <c r="D17" s="4" t="s">
        <v>252</v>
      </c>
      <c r="E17" s="4" t="s">
        <v>253</v>
      </c>
    </row>
    <row r="18" customFormat="false" ht="15" hidden="false" customHeight="false" outlineLevel="0" collapsed="false">
      <c r="A18" s="9" t="s">
        <v>254</v>
      </c>
      <c r="B18" s="21" t="n">
        <v>6</v>
      </c>
      <c r="C18" s="10" t="n">
        <v>1259</v>
      </c>
      <c r="D18" s="10" t="n">
        <v>1221</v>
      </c>
      <c r="E18" s="23" t="n">
        <f aca="false">D18/C18</f>
        <v>0.969817315329627</v>
      </c>
    </row>
    <row r="19" customFormat="false" ht="15" hidden="false" customHeight="false" outlineLevel="0" collapsed="false">
      <c r="A19" s="9" t="s">
        <v>255</v>
      </c>
      <c r="B19" s="21" t="n">
        <v>6</v>
      </c>
      <c r="C19" s="10" t="n">
        <v>761</v>
      </c>
      <c r="D19" s="10" t="n">
        <v>692</v>
      </c>
      <c r="E19" s="23" t="n">
        <f aca="false">D19/C19</f>
        <v>0.909329829172142</v>
      </c>
    </row>
    <row r="20" customFormat="false" ht="15" hidden="false" customHeight="false" outlineLevel="0" collapsed="false">
      <c r="A20" s="9" t="s">
        <v>254</v>
      </c>
      <c r="B20" s="21" t="n">
        <v>12</v>
      </c>
      <c r="C20" s="10" t="n">
        <v>1259</v>
      </c>
      <c r="D20" s="10" t="n">
        <v>1165</v>
      </c>
      <c r="E20" s="23" t="n">
        <f aca="false">D20/C20</f>
        <v>0.925337569499603</v>
      </c>
    </row>
    <row r="21" customFormat="false" ht="15" hidden="false" customHeight="false" outlineLevel="0" collapsed="false">
      <c r="A21" s="9" t="s">
        <v>255</v>
      </c>
      <c r="B21" s="21" t="n">
        <v>12</v>
      </c>
      <c r="C21" s="10" t="n">
        <v>613</v>
      </c>
      <c r="D21" s="10" t="n">
        <v>482</v>
      </c>
      <c r="E21" s="23" t="n">
        <f aca="false">D21/C21</f>
        <v>0.786296900489396</v>
      </c>
    </row>
    <row r="22" customFormat="false" ht="15" hidden="false" customHeight="false" outlineLevel="0" collapsed="false">
      <c r="A22" s="9" t="s">
        <v>254</v>
      </c>
      <c r="B22" s="21" t="n">
        <v>18</v>
      </c>
      <c r="C22" s="10" t="n">
        <v>1259</v>
      </c>
      <c r="D22" s="10" t="n">
        <v>1110</v>
      </c>
      <c r="E22" s="23" t="n">
        <f aca="false">D22/C22</f>
        <v>0.881652104845115</v>
      </c>
    </row>
    <row r="23" customFormat="false" ht="15" hidden="false" customHeight="false" outlineLevel="0" collapsed="false">
      <c r="A23" s="9" t="s">
        <v>255</v>
      </c>
      <c r="B23" s="21" t="n">
        <v>18</v>
      </c>
      <c r="C23" s="10" t="n">
        <v>474</v>
      </c>
      <c r="D23" s="10" t="n">
        <v>344</v>
      </c>
      <c r="E23" s="23" t="n">
        <f aca="false">D23/C23</f>
        <v>0.725738396624473</v>
      </c>
    </row>
    <row r="24" customFormat="false" ht="15" hidden="false" customHeight="true" outlineLevel="0" collapsed="false">
      <c r="L24" s="22" t="s">
        <v>256</v>
      </c>
      <c r="M24" s="22"/>
      <c r="N24" s="22"/>
      <c r="O24" s="22"/>
      <c r="P24" s="22"/>
      <c r="Q24" s="22"/>
      <c r="R24" s="22"/>
      <c r="S24" s="22"/>
      <c r="T24" s="22"/>
    </row>
    <row r="25" customFormat="false" ht="15" hidden="false" customHeight="false" outlineLevel="0" collapsed="false">
      <c r="L25" s="22"/>
      <c r="M25" s="22"/>
      <c r="N25" s="22"/>
      <c r="O25" s="22"/>
      <c r="P25" s="22"/>
      <c r="Q25" s="22"/>
      <c r="R25" s="22"/>
      <c r="S25" s="22"/>
      <c r="T25" s="22"/>
    </row>
    <row r="26" customFormat="false" ht="15" hidden="false" customHeight="false" outlineLevel="0" collapsed="false">
      <c r="L26" s="22"/>
      <c r="M26" s="22"/>
      <c r="N26" s="22"/>
      <c r="O26" s="22"/>
      <c r="P26" s="22"/>
      <c r="Q26" s="22"/>
      <c r="R26" s="22"/>
      <c r="S26" s="22"/>
      <c r="T26" s="22"/>
    </row>
    <row r="27" customFormat="false" ht="15" hidden="false" customHeight="false" outlineLevel="0" collapsed="false">
      <c r="L27" s="22"/>
      <c r="M27" s="22"/>
      <c r="N27" s="22"/>
      <c r="O27" s="22"/>
      <c r="P27" s="22"/>
      <c r="Q27" s="22"/>
      <c r="R27" s="22"/>
      <c r="S27" s="22"/>
      <c r="T27" s="22"/>
    </row>
    <row r="28" customFormat="false" ht="15" hidden="false" customHeight="false" outlineLevel="0" collapsed="false">
      <c r="L28" s="22"/>
      <c r="M28" s="22"/>
      <c r="N28" s="22"/>
      <c r="O28" s="22"/>
      <c r="P28" s="22"/>
      <c r="Q28" s="22"/>
      <c r="R28" s="22"/>
      <c r="S28" s="22"/>
      <c r="T28" s="22"/>
    </row>
    <row r="29" customFormat="false" ht="15" hidden="false" customHeight="false" outlineLevel="0" collapsed="false">
      <c r="L29" s="22"/>
      <c r="M29" s="22"/>
      <c r="N29" s="22"/>
      <c r="O29" s="22"/>
      <c r="P29" s="22"/>
      <c r="Q29" s="22"/>
      <c r="R29" s="22"/>
      <c r="S29" s="22"/>
      <c r="T29" s="22"/>
    </row>
    <row r="30" customFormat="false" ht="15" hidden="false" customHeight="false" outlineLevel="0" collapsed="false">
      <c r="L30" s="22"/>
      <c r="M30" s="22"/>
      <c r="N30" s="22"/>
      <c r="O30" s="22"/>
      <c r="P30" s="22"/>
      <c r="Q30" s="22"/>
      <c r="R30" s="22"/>
      <c r="S30" s="22"/>
      <c r="T30" s="22"/>
    </row>
    <row r="31" customFormat="false" ht="15" hidden="false" customHeight="false" outlineLevel="0" collapsed="false">
      <c r="L31" s="22"/>
      <c r="M31" s="22"/>
      <c r="N31" s="22"/>
      <c r="O31" s="22"/>
      <c r="P31" s="22"/>
      <c r="Q31" s="22"/>
      <c r="R31" s="22"/>
      <c r="S31" s="22"/>
      <c r="T31" s="22"/>
    </row>
    <row r="32" customFormat="false" ht="15" hidden="false" customHeight="false" outlineLevel="0" collapsed="false">
      <c r="L32" s="22"/>
      <c r="M32" s="22"/>
      <c r="N32" s="22"/>
      <c r="O32" s="22"/>
      <c r="P32" s="22"/>
      <c r="Q32" s="22"/>
      <c r="R32" s="22"/>
      <c r="S32" s="22"/>
      <c r="T32" s="22"/>
    </row>
    <row r="33" customFormat="false" ht="15" hidden="false" customHeight="false" outlineLevel="0" collapsed="false">
      <c r="L33" s="22"/>
      <c r="M33" s="22"/>
      <c r="N33" s="22"/>
      <c r="O33" s="22"/>
      <c r="P33" s="22"/>
      <c r="Q33" s="22"/>
      <c r="R33" s="22"/>
      <c r="S33" s="22"/>
      <c r="T33" s="22"/>
    </row>
    <row r="34" customFormat="false" ht="15" hidden="false" customHeight="false" outlineLevel="0" collapsed="false">
      <c r="L34" s="22"/>
      <c r="M34" s="22"/>
      <c r="N34" s="22"/>
      <c r="O34" s="22"/>
      <c r="P34" s="22"/>
      <c r="Q34" s="22"/>
      <c r="R34" s="22"/>
      <c r="S34" s="22"/>
      <c r="T34" s="22"/>
    </row>
    <row r="35" customFormat="false" ht="15" hidden="false" customHeight="false" outlineLevel="0" collapsed="false">
      <c r="L35" s="22"/>
      <c r="M35" s="22"/>
      <c r="N35" s="22"/>
      <c r="O35" s="22"/>
      <c r="P35" s="22"/>
      <c r="Q35" s="22"/>
      <c r="R35" s="22"/>
      <c r="S35" s="22"/>
      <c r="T35" s="22"/>
    </row>
    <row r="41" customFormat="false" ht="15" hidden="false" customHeight="false" outlineLevel="0" collapsed="false">
      <c r="A41" s="8" t="s">
        <v>257</v>
      </c>
    </row>
    <row r="42" customFormat="false" ht="30" hidden="false" customHeight="true" outlineLevel="0" collapsed="false">
      <c r="A42" s="4" t="s">
        <v>258</v>
      </c>
      <c r="B42" s="4" t="s">
        <v>259</v>
      </c>
      <c r="C42" s="4" t="s">
        <v>260</v>
      </c>
      <c r="D42" s="4" t="s">
        <v>261</v>
      </c>
      <c r="E42" s="4" t="s">
        <v>262</v>
      </c>
      <c r="F42" s="4" t="s">
        <v>263</v>
      </c>
      <c r="G42" s="4" t="s">
        <v>264</v>
      </c>
      <c r="H42" s="4" t="s">
        <v>265</v>
      </c>
      <c r="I42" s="4" t="s">
        <v>266</v>
      </c>
      <c r="J42" s="4" t="s">
        <v>267</v>
      </c>
      <c r="K42" s="4" t="s">
        <v>268</v>
      </c>
      <c r="L42" s="4" t="s">
        <v>269</v>
      </c>
      <c r="M42" s="4" t="s">
        <v>270</v>
      </c>
      <c r="N42" s="4" t="s">
        <v>271</v>
      </c>
      <c r="O42" s="4" t="s">
        <v>272</v>
      </c>
      <c r="P42" s="4" t="s">
        <v>273</v>
      </c>
      <c r="Q42" s="4" t="s">
        <v>274</v>
      </c>
      <c r="R42" s="4" t="s">
        <v>275</v>
      </c>
      <c r="S42" s="4" t="s">
        <v>276</v>
      </c>
      <c r="T42" s="4" t="s">
        <v>277</v>
      </c>
      <c r="U42" s="4" t="s">
        <v>278</v>
      </c>
      <c r="V42" s="4" t="s">
        <v>279</v>
      </c>
      <c r="W42" s="4" t="s">
        <v>280</v>
      </c>
      <c r="X42" s="4" t="s">
        <v>281</v>
      </c>
      <c r="Y42" s="4" t="s">
        <v>282</v>
      </c>
      <c r="Z42" s="4" t="s">
        <v>283</v>
      </c>
      <c r="AA42" s="4" t="s">
        <v>284</v>
      </c>
      <c r="AB42" s="4" t="s">
        <v>285</v>
      </c>
      <c r="AC42" s="4" t="s">
        <v>286</v>
      </c>
      <c r="AD42" s="4" t="s">
        <v>287</v>
      </c>
      <c r="AE42" s="4" t="s">
        <v>288</v>
      </c>
      <c r="AF42" s="4" t="s">
        <v>289</v>
      </c>
      <c r="AG42" s="4" t="s">
        <v>290</v>
      </c>
      <c r="AH42" s="4" t="s">
        <v>291</v>
      </c>
      <c r="AI42" s="4" t="s">
        <v>292</v>
      </c>
      <c r="AJ42" s="4" t="s">
        <v>293</v>
      </c>
      <c r="AK42" s="4" t="s">
        <v>294</v>
      </c>
      <c r="AL42" s="4" t="s">
        <v>295</v>
      </c>
    </row>
    <row r="43" customFormat="false" ht="15" hidden="false" customHeight="false" outlineLevel="0" collapsed="false">
      <c r="A43" s="9" t="s">
        <v>296</v>
      </c>
      <c r="B43" s="27" t="n">
        <v>1</v>
      </c>
      <c r="C43" s="27" t="n">
        <v>1</v>
      </c>
      <c r="D43" s="27" t="n">
        <v>1</v>
      </c>
      <c r="E43" s="27" t="n">
        <v>1</v>
      </c>
      <c r="F43" s="27" t="n">
        <v>1</v>
      </c>
      <c r="G43" s="27" t="n">
        <v>1</v>
      </c>
      <c r="H43" s="27" t="n">
        <v>1</v>
      </c>
      <c r="I43" s="27" t="n">
        <v>1</v>
      </c>
      <c r="J43" s="27" t="n">
        <v>1</v>
      </c>
      <c r="K43" s="27" t="n">
        <v>1</v>
      </c>
      <c r="L43" s="27" t="n">
        <v>1</v>
      </c>
      <c r="M43" s="27" t="n">
        <v>0.96666667</v>
      </c>
      <c r="N43" s="27" t="n">
        <v>0.95</v>
      </c>
      <c r="O43" s="27" t="n">
        <v>0.91666667</v>
      </c>
      <c r="P43" s="27" t="n">
        <v>0.91666667</v>
      </c>
      <c r="Q43" s="27" t="n">
        <v>0.9</v>
      </c>
      <c r="R43" s="27" t="n">
        <v>0.88333333</v>
      </c>
      <c r="S43" s="27" t="n">
        <v>0.85</v>
      </c>
      <c r="T43" s="27" t="n">
        <v>0.83333333</v>
      </c>
      <c r="U43" s="27" t="n">
        <v>0.81666667</v>
      </c>
      <c r="V43" s="27" t="n">
        <v>0.8</v>
      </c>
      <c r="W43" s="27" t="n">
        <v>0.8</v>
      </c>
      <c r="X43" s="27" t="n">
        <v>0.8</v>
      </c>
      <c r="Y43" s="27" t="n">
        <v>0.8</v>
      </c>
      <c r="Z43" s="27" t="n">
        <v>0.78333333</v>
      </c>
      <c r="AA43" s="27" t="n">
        <v>0.76666667</v>
      </c>
      <c r="AB43" s="27" t="n">
        <v>0.76666667</v>
      </c>
      <c r="AC43" s="27" t="n">
        <v>0.76666667</v>
      </c>
      <c r="AD43" s="27" t="n">
        <v>0.76666667</v>
      </c>
      <c r="AE43" s="27" t="n">
        <v>0.76666667</v>
      </c>
      <c r="AF43" s="27" t="n">
        <v>0.76666667</v>
      </c>
      <c r="AG43" s="27" t="n">
        <v>0.76666667</v>
      </c>
      <c r="AH43" s="27" t="n">
        <v>0.76666667</v>
      </c>
      <c r="AI43" s="27" t="n">
        <v>0.75</v>
      </c>
      <c r="AJ43" s="27" t="n">
        <v>0.75</v>
      </c>
      <c r="AK43" s="27" t="n">
        <v>0.75</v>
      </c>
      <c r="AL43" s="27" t="n">
        <v>0.73333333</v>
      </c>
    </row>
    <row r="44" customFormat="false" ht="15" hidden="false" customHeight="false" outlineLevel="0" collapsed="false">
      <c r="A44" s="9" t="s">
        <v>297</v>
      </c>
      <c r="B44" s="27" t="n">
        <v>1</v>
      </c>
      <c r="C44" s="27" t="n">
        <v>1</v>
      </c>
      <c r="D44" s="27" t="n">
        <v>1</v>
      </c>
      <c r="E44" s="27" t="n">
        <v>1</v>
      </c>
      <c r="F44" s="27" t="n">
        <v>1</v>
      </c>
      <c r="G44" s="27" t="n">
        <v>0.96875</v>
      </c>
      <c r="H44" s="27" t="n">
        <v>0.9375</v>
      </c>
      <c r="I44" s="27" t="n">
        <v>0.90625</v>
      </c>
      <c r="J44" s="27" t="n">
        <v>0.90625</v>
      </c>
      <c r="K44" s="27" t="n">
        <v>0.90625</v>
      </c>
      <c r="L44" s="27" t="n">
        <v>0.90625</v>
      </c>
      <c r="M44" s="27" t="n">
        <v>0.90625</v>
      </c>
      <c r="N44" s="27" t="n">
        <v>0.90625</v>
      </c>
      <c r="O44" s="27" t="n">
        <v>0.90625</v>
      </c>
      <c r="P44" s="27" t="n">
        <v>0.90625</v>
      </c>
      <c r="Q44" s="27" t="n">
        <v>0.90625</v>
      </c>
      <c r="R44" s="27" t="n">
        <v>0.90625</v>
      </c>
      <c r="S44" s="27" t="n">
        <v>0.90625</v>
      </c>
      <c r="T44" s="27" t="n">
        <v>0.90625</v>
      </c>
      <c r="U44" s="27" t="n">
        <v>0.90625</v>
      </c>
      <c r="V44" s="27" t="n">
        <v>0.875</v>
      </c>
      <c r="W44" s="27" t="n">
        <v>0.84375</v>
      </c>
      <c r="X44" s="27" t="n">
        <v>0.8125</v>
      </c>
      <c r="Y44" s="27" t="n">
        <v>0.8125</v>
      </c>
      <c r="Z44" s="27" t="n">
        <v>0.8125</v>
      </c>
      <c r="AA44" s="27" t="n">
        <v>0.8125</v>
      </c>
      <c r="AB44" s="27" t="n">
        <v>0.8125</v>
      </c>
      <c r="AC44" s="27" t="n">
        <v>0.8125</v>
      </c>
      <c r="AD44" s="27" t="n">
        <v>0.8125</v>
      </c>
      <c r="AE44" s="27" t="n">
        <v>0.8125</v>
      </c>
      <c r="AF44" s="27" t="n">
        <v>0.8125</v>
      </c>
      <c r="AG44" s="27" t="n">
        <v>0.8125</v>
      </c>
      <c r="AH44" s="27" t="n">
        <v>0.8125</v>
      </c>
      <c r="AI44" s="27" t="n">
        <v>0.8125</v>
      </c>
      <c r="AJ44" s="27" t="n">
        <v>0.8125</v>
      </c>
      <c r="AK44" s="27" t="n">
        <v>0.8125</v>
      </c>
      <c r="AL44" s="27" t="n">
        <v>0.8125</v>
      </c>
    </row>
    <row r="45" customFormat="false" ht="15" hidden="false" customHeight="false" outlineLevel="0" collapsed="false">
      <c r="A45" s="9" t="s">
        <v>298</v>
      </c>
      <c r="B45" s="27" t="n">
        <v>1</v>
      </c>
      <c r="C45" s="27" t="n">
        <v>1</v>
      </c>
      <c r="D45" s="27" t="n">
        <v>1</v>
      </c>
      <c r="E45" s="27" t="n">
        <v>1</v>
      </c>
      <c r="F45" s="27" t="n">
        <v>1</v>
      </c>
      <c r="G45" s="27" t="n">
        <v>1</v>
      </c>
      <c r="H45" s="27" t="n">
        <v>1</v>
      </c>
      <c r="I45" s="27" t="n">
        <v>1</v>
      </c>
      <c r="J45" s="27" t="n">
        <v>1</v>
      </c>
      <c r="K45" s="27" t="n">
        <v>0.97222222</v>
      </c>
      <c r="L45" s="27" t="n">
        <v>0.97222222</v>
      </c>
      <c r="M45" s="27" t="n">
        <v>0.94444444</v>
      </c>
      <c r="N45" s="27" t="n">
        <v>0.94444444</v>
      </c>
      <c r="O45" s="27" t="n">
        <v>0.94444444</v>
      </c>
      <c r="P45" s="27" t="n">
        <v>0.94444444</v>
      </c>
      <c r="Q45" s="27" t="n">
        <v>0.91666667</v>
      </c>
      <c r="R45" s="27" t="n">
        <v>0.91666667</v>
      </c>
      <c r="S45" s="27" t="n">
        <v>0.91666667</v>
      </c>
      <c r="T45" s="27" t="n">
        <v>0.91666667</v>
      </c>
      <c r="U45" s="27" t="n">
        <v>0.91666667</v>
      </c>
      <c r="V45" s="27" t="n">
        <v>0.91666667</v>
      </c>
      <c r="W45" s="27" t="n">
        <v>0.91666667</v>
      </c>
      <c r="X45" s="27" t="n">
        <v>0.91666667</v>
      </c>
      <c r="Y45" s="27" t="n">
        <v>0.91666667</v>
      </c>
      <c r="Z45" s="27" t="n">
        <v>0.91666667</v>
      </c>
      <c r="AA45" s="27" t="n">
        <v>0.91666667</v>
      </c>
      <c r="AB45" s="27" t="n">
        <v>0.91666667</v>
      </c>
      <c r="AC45" s="27" t="n">
        <v>0.88888889</v>
      </c>
      <c r="AD45" s="27" t="n">
        <v>0.88888889</v>
      </c>
      <c r="AE45" s="27" t="n">
        <v>0.88888889</v>
      </c>
      <c r="AF45" s="27" t="n">
        <v>0.88888889</v>
      </c>
      <c r="AG45" s="27" t="n">
        <v>0.88888889</v>
      </c>
      <c r="AH45" s="27" t="n">
        <v>0.88888889</v>
      </c>
      <c r="AI45" s="27" t="n">
        <v>0.88888889</v>
      </c>
      <c r="AJ45" s="27" t="n">
        <v>0.88888889</v>
      </c>
      <c r="AK45" s="27" t="n">
        <v>0.88888889</v>
      </c>
      <c r="AL45" s="27" t="n">
        <v>0.88888889</v>
      </c>
    </row>
    <row r="46" customFormat="false" ht="15" hidden="false" customHeight="false" outlineLevel="0" collapsed="false">
      <c r="A46" s="9" t="s">
        <v>299</v>
      </c>
      <c r="B46" s="27" t="n">
        <v>1</v>
      </c>
      <c r="C46" s="27" t="n">
        <v>1</v>
      </c>
      <c r="D46" s="27" t="n">
        <v>1</v>
      </c>
      <c r="E46" s="27" t="n">
        <v>1</v>
      </c>
      <c r="F46" s="27" t="n">
        <v>0.95348837</v>
      </c>
      <c r="G46" s="27" t="n">
        <v>0.95348837</v>
      </c>
      <c r="H46" s="27" t="n">
        <v>0.95348837</v>
      </c>
      <c r="I46" s="27" t="n">
        <v>0.95348837</v>
      </c>
      <c r="J46" s="27" t="n">
        <v>0.93023256</v>
      </c>
      <c r="K46" s="27" t="n">
        <v>0.93023256</v>
      </c>
      <c r="L46" s="27" t="n">
        <v>0.93023256</v>
      </c>
      <c r="M46" s="27" t="n">
        <v>0.93023256</v>
      </c>
      <c r="N46" s="27" t="n">
        <v>0.93023256</v>
      </c>
      <c r="O46" s="27" t="n">
        <v>0.93023256</v>
      </c>
      <c r="P46" s="27" t="n">
        <v>0.93023256</v>
      </c>
      <c r="Q46" s="27" t="n">
        <v>0.93023256</v>
      </c>
      <c r="R46" s="27" t="n">
        <v>0.93023256</v>
      </c>
      <c r="S46" s="27" t="n">
        <v>0.93023256</v>
      </c>
      <c r="T46" s="27" t="n">
        <v>0.93023256</v>
      </c>
      <c r="U46" s="27" t="n">
        <v>0.93023256</v>
      </c>
      <c r="V46" s="27" t="n">
        <v>0.93023256</v>
      </c>
      <c r="W46" s="27" t="n">
        <v>0.93023256</v>
      </c>
      <c r="X46" s="27" t="n">
        <v>0.93023256</v>
      </c>
      <c r="Y46" s="27" t="n">
        <v>0.90697674</v>
      </c>
      <c r="Z46" s="27" t="n">
        <v>0.90697674</v>
      </c>
      <c r="AA46" s="27" t="n">
        <v>0.90697674</v>
      </c>
      <c r="AB46" s="27" t="n">
        <v>0.90697674</v>
      </c>
      <c r="AC46" s="27" t="n">
        <v>0.90697674</v>
      </c>
      <c r="AD46" s="27" t="n">
        <v>0.90697674</v>
      </c>
      <c r="AE46" s="27" t="n">
        <v>0.90697674</v>
      </c>
      <c r="AF46" s="27" t="n">
        <v>0.90697674</v>
      </c>
      <c r="AG46" s="27" t="n">
        <v>0.90697674</v>
      </c>
      <c r="AH46" s="27" t="n">
        <v>0.90697674</v>
      </c>
      <c r="AI46" s="27" t="n">
        <v>0.90697674</v>
      </c>
      <c r="AJ46" s="27" t="n">
        <v>0.86046512</v>
      </c>
      <c r="AK46" s="27" t="n">
        <v>0.86046512</v>
      </c>
      <c r="AL46" s="27" t="n">
        <v>0.86046512</v>
      </c>
    </row>
    <row r="47" customFormat="false" ht="15" hidden="false" customHeight="false" outlineLevel="0" collapsed="false">
      <c r="A47" s="9" t="s">
        <v>300</v>
      </c>
      <c r="B47" s="27" t="n">
        <v>1</v>
      </c>
      <c r="C47" s="27" t="n">
        <v>1</v>
      </c>
      <c r="D47" s="27" t="n">
        <v>1</v>
      </c>
      <c r="E47" s="27" t="n">
        <v>1</v>
      </c>
      <c r="F47" s="27" t="n">
        <v>1</v>
      </c>
      <c r="G47" s="27" t="n">
        <v>1</v>
      </c>
      <c r="H47" s="27" t="n">
        <v>1</v>
      </c>
      <c r="I47" s="27" t="n">
        <v>1</v>
      </c>
      <c r="J47" s="27" t="n">
        <v>1</v>
      </c>
      <c r="K47" s="27" t="n">
        <v>1</v>
      </c>
      <c r="L47" s="27" t="n">
        <v>1</v>
      </c>
      <c r="M47" s="27" t="n">
        <v>0.98</v>
      </c>
      <c r="N47" s="27" t="n">
        <v>0.98</v>
      </c>
      <c r="O47" s="27" t="n">
        <v>0.94</v>
      </c>
      <c r="P47" s="27" t="n">
        <v>0.94</v>
      </c>
      <c r="Q47" s="27" t="n">
        <v>0.92</v>
      </c>
      <c r="R47" s="27" t="n">
        <v>0.92</v>
      </c>
      <c r="S47" s="27" t="n">
        <v>0.9</v>
      </c>
      <c r="T47" s="27" t="n">
        <v>0.9</v>
      </c>
      <c r="U47" s="27" t="n">
        <v>0.9</v>
      </c>
      <c r="V47" s="27" t="n">
        <v>0.9</v>
      </c>
      <c r="W47" s="27" t="n">
        <v>0.9</v>
      </c>
      <c r="X47" s="27" t="n">
        <v>0.9</v>
      </c>
      <c r="Y47" s="27" t="n">
        <v>0.88</v>
      </c>
      <c r="Z47" s="27" t="n">
        <v>0.88</v>
      </c>
      <c r="AA47" s="27" t="n">
        <v>0.88</v>
      </c>
      <c r="AB47" s="27" t="n">
        <v>0.86</v>
      </c>
      <c r="AC47" s="27" t="n">
        <v>0.86</v>
      </c>
      <c r="AD47" s="27" t="n">
        <v>0.84</v>
      </c>
      <c r="AE47" s="27" t="n">
        <v>0.84</v>
      </c>
      <c r="AF47" s="27" t="n">
        <v>0.84</v>
      </c>
      <c r="AG47" s="27" t="n">
        <v>0.84</v>
      </c>
      <c r="AH47" s="27" t="n">
        <v>0.82</v>
      </c>
      <c r="AI47" s="27" t="n">
        <v>0.82</v>
      </c>
      <c r="AJ47" s="27" t="n">
        <v>0.82</v>
      </c>
      <c r="AK47" s="27" t="n">
        <v>0.82</v>
      </c>
      <c r="AL47" s="27" t="n">
        <v>0.82</v>
      </c>
    </row>
    <row r="48" customFormat="false" ht="15" hidden="false" customHeight="false" outlineLevel="0" collapsed="false">
      <c r="A48" s="9" t="s">
        <v>301</v>
      </c>
      <c r="B48" s="27" t="n">
        <v>1</v>
      </c>
      <c r="C48" s="27" t="n">
        <v>1</v>
      </c>
      <c r="D48" s="27" t="n">
        <v>1</v>
      </c>
      <c r="E48" s="27" t="n">
        <v>1</v>
      </c>
      <c r="F48" s="27" t="n">
        <v>1</v>
      </c>
      <c r="G48" s="27" t="n">
        <v>0.97368421</v>
      </c>
      <c r="H48" s="27" t="n">
        <v>0.97368421</v>
      </c>
      <c r="I48" s="27" t="n">
        <v>0.94736842</v>
      </c>
      <c r="J48" s="27" t="n">
        <v>0.94736842</v>
      </c>
      <c r="K48" s="27" t="n">
        <v>0.94736842</v>
      </c>
      <c r="L48" s="27" t="n">
        <v>0.94736842</v>
      </c>
      <c r="M48" s="27" t="n">
        <v>0.94736842</v>
      </c>
      <c r="N48" s="27" t="n">
        <v>0.94736842</v>
      </c>
      <c r="O48" s="27" t="n">
        <v>0.94736842</v>
      </c>
      <c r="P48" s="27" t="n">
        <v>0.94736842</v>
      </c>
      <c r="Q48" s="27" t="n">
        <v>0.94736842</v>
      </c>
      <c r="R48" s="27" t="n">
        <v>0.94736842</v>
      </c>
      <c r="S48" s="27" t="n">
        <v>0.92105263</v>
      </c>
      <c r="T48" s="27" t="n">
        <v>0.92105263</v>
      </c>
      <c r="U48" s="27" t="n">
        <v>0.92105263</v>
      </c>
      <c r="V48" s="27" t="n">
        <v>0.89473684</v>
      </c>
      <c r="W48" s="27" t="n">
        <v>0.89473684</v>
      </c>
      <c r="X48" s="27" t="n">
        <v>0.89473684</v>
      </c>
      <c r="Y48" s="27" t="n">
        <v>0.89473684</v>
      </c>
      <c r="Z48" s="27" t="n">
        <v>0.89473684</v>
      </c>
      <c r="AA48" s="27" t="n">
        <v>0.89473684</v>
      </c>
      <c r="AB48" s="27" t="n">
        <v>0.86842105</v>
      </c>
      <c r="AC48" s="27" t="n">
        <v>0.86842105</v>
      </c>
      <c r="AD48" s="27" t="n">
        <v>0.86842105</v>
      </c>
      <c r="AE48" s="27" t="n">
        <v>0.84210526</v>
      </c>
      <c r="AF48" s="27" t="n">
        <v>0.81578947</v>
      </c>
      <c r="AG48" s="27" t="n">
        <v>0.81578947</v>
      </c>
      <c r="AH48" s="27" t="n">
        <v>0.81578947</v>
      </c>
      <c r="AI48" s="27" t="n">
        <v>0.81578947</v>
      </c>
      <c r="AJ48" s="27" t="n">
        <v>0.81578947</v>
      </c>
      <c r="AK48" s="27" t="n">
        <v>0.81578947</v>
      </c>
      <c r="AL48" s="27" t="n">
        <v>0.81578947</v>
      </c>
    </row>
    <row r="49" customFormat="false" ht="15" hidden="false" customHeight="false" outlineLevel="0" collapsed="false">
      <c r="A49" s="9" t="s">
        <v>302</v>
      </c>
      <c r="B49" s="27" t="n">
        <v>1</v>
      </c>
      <c r="C49" s="27" t="n">
        <v>0.97560976</v>
      </c>
      <c r="D49" s="27" t="n">
        <v>0.97560976</v>
      </c>
      <c r="E49" s="27" t="n">
        <v>0.97560976</v>
      </c>
      <c r="F49" s="27" t="n">
        <v>0.95121951</v>
      </c>
      <c r="G49" s="27" t="n">
        <v>0.95121951</v>
      </c>
      <c r="H49" s="27" t="n">
        <v>0.95121951</v>
      </c>
      <c r="I49" s="27" t="n">
        <v>0.95121951</v>
      </c>
      <c r="J49" s="27" t="n">
        <v>0.92682927</v>
      </c>
      <c r="K49" s="27" t="n">
        <v>0.92682927</v>
      </c>
      <c r="L49" s="27" t="n">
        <v>0.90243902</v>
      </c>
      <c r="M49" s="27" t="n">
        <v>0.90243902</v>
      </c>
      <c r="N49" s="27" t="n">
        <v>0.90243902</v>
      </c>
      <c r="O49" s="27" t="n">
        <v>0.90243902</v>
      </c>
      <c r="P49" s="27" t="n">
        <v>0.90243902</v>
      </c>
      <c r="Q49" s="27" t="n">
        <v>0.90243902</v>
      </c>
      <c r="R49" s="27" t="n">
        <v>0.90243902</v>
      </c>
      <c r="S49" s="27" t="n">
        <v>0.90243902</v>
      </c>
      <c r="T49" s="27" t="n">
        <v>0.90243902</v>
      </c>
      <c r="U49" s="27" t="n">
        <v>0.90243902</v>
      </c>
      <c r="V49" s="27" t="n">
        <v>0.90243902</v>
      </c>
      <c r="W49" s="27" t="n">
        <v>0.90243902</v>
      </c>
      <c r="X49" s="27" t="n">
        <v>0.90243902</v>
      </c>
      <c r="Y49" s="27" t="n">
        <v>0.90243902</v>
      </c>
      <c r="Z49" s="27" t="n">
        <v>0.90243902</v>
      </c>
      <c r="AA49" s="27" t="n">
        <v>0.87804878</v>
      </c>
      <c r="AB49" s="27" t="n">
        <v>0.87804878</v>
      </c>
      <c r="AC49" s="27" t="n">
        <v>0.87804878</v>
      </c>
      <c r="AD49" s="27" t="n">
        <v>0.87804878</v>
      </c>
      <c r="AE49" s="27" t="n">
        <v>0.85365854</v>
      </c>
      <c r="AF49" s="27" t="n">
        <v>0.82926829</v>
      </c>
      <c r="AG49" s="27" t="n">
        <v>0.82926829</v>
      </c>
      <c r="AH49" s="27" t="n">
        <v>0.82926829</v>
      </c>
      <c r="AI49" s="27" t="n">
        <v>0.82926829</v>
      </c>
      <c r="AJ49" s="27" t="n">
        <v>0.82926829</v>
      </c>
      <c r="AK49" s="27" t="n">
        <v>0.82926829</v>
      </c>
      <c r="AL49" s="27" t="n">
        <v>0.82926829</v>
      </c>
    </row>
    <row r="50" customFormat="false" ht="15" hidden="false" customHeight="false" outlineLevel="0" collapsed="false">
      <c r="A50" s="9" t="s">
        <v>303</v>
      </c>
      <c r="B50" s="27" t="n">
        <v>1</v>
      </c>
      <c r="C50" s="27" t="n">
        <v>1</v>
      </c>
      <c r="D50" s="27" t="n">
        <v>1</v>
      </c>
      <c r="E50" s="27" t="n">
        <v>1</v>
      </c>
      <c r="F50" s="27" t="n">
        <v>1</v>
      </c>
      <c r="G50" s="27" t="n">
        <v>1</v>
      </c>
      <c r="H50" s="27" t="n">
        <v>1</v>
      </c>
      <c r="I50" s="27" t="n">
        <v>1</v>
      </c>
      <c r="J50" s="27" t="n">
        <v>1</v>
      </c>
      <c r="K50" s="27" t="n">
        <v>1</v>
      </c>
      <c r="L50" s="27" t="n">
        <v>1</v>
      </c>
      <c r="M50" s="27" t="n">
        <v>1</v>
      </c>
      <c r="N50" s="27" t="n">
        <v>0.98305085</v>
      </c>
      <c r="O50" s="27" t="n">
        <v>0.96610169</v>
      </c>
      <c r="P50" s="27" t="n">
        <v>0.96610169</v>
      </c>
      <c r="Q50" s="27" t="n">
        <v>0.96610169</v>
      </c>
      <c r="R50" s="27" t="n">
        <v>0.96610169</v>
      </c>
      <c r="S50" s="27" t="n">
        <v>0.96610169</v>
      </c>
      <c r="T50" s="27" t="n">
        <v>0.96610169</v>
      </c>
      <c r="U50" s="27" t="n">
        <v>0.94915254</v>
      </c>
      <c r="V50" s="27" t="n">
        <v>0.94915254</v>
      </c>
      <c r="W50" s="27" t="n">
        <v>0.93220339</v>
      </c>
      <c r="X50" s="27" t="n">
        <v>0.93220339</v>
      </c>
      <c r="Y50" s="27" t="n">
        <v>0.93220339</v>
      </c>
      <c r="Z50" s="27" t="n">
        <v>0.93220339</v>
      </c>
      <c r="AA50" s="27" t="n">
        <v>0.93220339</v>
      </c>
      <c r="AB50" s="27" t="n">
        <v>0.91525424</v>
      </c>
      <c r="AC50" s="27" t="n">
        <v>0.89830508</v>
      </c>
      <c r="AD50" s="27" t="n">
        <v>0.89830508</v>
      </c>
      <c r="AE50" s="27" t="n">
        <v>0.89830508</v>
      </c>
      <c r="AF50" s="27" t="n">
        <v>0.89830508</v>
      </c>
      <c r="AG50" s="27" t="n">
        <v>0.89830508</v>
      </c>
      <c r="AH50" s="27" t="n">
        <v>0.86440678</v>
      </c>
      <c r="AI50" s="27" t="n">
        <v>0.86440678</v>
      </c>
      <c r="AJ50" s="27" t="n">
        <v>0.86440678</v>
      </c>
      <c r="AK50" s="27" t="n">
        <v>0.84745763</v>
      </c>
      <c r="AL50" s="27" t="n">
        <v>0.84745763</v>
      </c>
    </row>
    <row r="51" customFormat="false" ht="15" hidden="false" customHeight="false" outlineLevel="0" collapsed="false">
      <c r="A51" s="9" t="s">
        <v>304</v>
      </c>
      <c r="B51" s="27" t="n">
        <v>1</v>
      </c>
      <c r="C51" s="27" t="n">
        <v>1</v>
      </c>
      <c r="D51" s="27" t="n">
        <v>1</v>
      </c>
      <c r="E51" s="27" t="n">
        <v>1</v>
      </c>
      <c r="F51" s="27" t="n">
        <v>1</v>
      </c>
      <c r="G51" s="27" t="n">
        <v>0.94827586</v>
      </c>
      <c r="H51" s="27" t="n">
        <v>0.94827586</v>
      </c>
      <c r="I51" s="27" t="n">
        <v>0.93103448</v>
      </c>
      <c r="J51" s="27" t="n">
        <v>0.93103448</v>
      </c>
      <c r="K51" s="27" t="n">
        <v>0.9137931</v>
      </c>
      <c r="L51" s="27" t="n">
        <v>0.89655172</v>
      </c>
      <c r="M51" s="27" t="n">
        <v>0.87931034</v>
      </c>
      <c r="N51" s="27" t="n">
        <v>0.87931034</v>
      </c>
      <c r="O51" s="27" t="n">
        <v>0.87931034</v>
      </c>
      <c r="P51" s="27" t="n">
        <v>0.87931034</v>
      </c>
      <c r="Q51" s="27" t="n">
        <v>0.86206897</v>
      </c>
      <c r="R51" s="27" t="n">
        <v>0.86206897</v>
      </c>
      <c r="S51" s="27" t="n">
        <v>0.82758621</v>
      </c>
      <c r="T51" s="27" t="n">
        <v>0.82758621</v>
      </c>
      <c r="U51" s="27" t="n">
        <v>0.79310345</v>
      </c>
      <c r="V51" s="27" t="n">
        <v>0.79310345</v>
      </c>
      <c r="W51" s="27" t="n">
        <v>0.77586207</v>
      </c>
      <c r="X51" s="27" t="n">
        <v>0.75862069</v>
      </c>
      <c r="Y51" s="27" t="n">
        <v>0.75862069</v>
      </c>
      <c r="Z51" s="27" t="n">
        <v>0.74137931</v>
      </c>
      <c r="AA51" s="27" t="n">
        <v>0.74137931</v>
      </c>
      <c r="AB51" s="27" t="n">
        <v>0.72413793</v>
      </c>
      <c r="AC51" s="27" t="n">
        <v>0.70689655</v>
      </c>
      <c r="AD51" s="27" t="n">
        <v>0.68965517</v>
      </c>
      <c r="AE51" s="27" t="n">
        <v>0.68965517</v>
      </c>
      <c r="AF51" s="27" t="n">
        <v>0.68965517</v>
      </c>
      <c r="AG51" s="27" t="n">
        <v>0.67241379</v>
      </c>
      <c r="AH51" s="27" t="n">
        <v>0.67241379</v>
      </c>
      <c r="AI51" s="27" t="n">
        <v>0.67241379</v>
      </c>
      <c r="AJ51" s="27" t="n">
        <v>0.67241379</v>
      </c>
      <c r="AK51" s="27" t="n">
        <v>0.67241379</v>
      </c>
      <c r="AL51" s="27" t="n">
        <v>0.67241379</v>
      </c>
    </row>
    <row r="52" customFormat="false" ht="15" hidden="false" customHeight="false" outlineLevel="0" collapsed="false">
      <c r="A52" s="9" t="s">
        <v>305</v>
      </c>
      <c r="B52" s="27" t="n">
        <v>1</v>
      </c>
      <c r="C52" s="27" t="n">
        <v>1</v>
      </c>
      <c r="D52" s="27" t="n">
        <v>1</v>
      </c>
      <c r="E52" s="27" t="n">
        <v>1</v>
      </c>
      <c r="F52" s="27" t="n">
        <v>1</v>
      </c>
      <c r="G52" s="27" t="n">
        <v>1</v>
      </c>
      <c r="H52" s="27" t="n">
        <v>1</v>
      </c>
      <c r="I52" s="27" t="n">
        <v>1</v>
      </c>
      <c r="J52" s="27" t="n">
        <v>0.98076923</v>
      </c>
      <c r="K52" s="27" t="n">
        <v>0.96153846</v>
      </c>
      <c r="L52" s="27" t="n">
        <v>0.96153846</v>
      </c>
      <c r="M52" s="27" t="n">
        <v>0.92307692</v>
      </c>
      <c r="N52" s="27" t="n">
        <v>0.92307692</v>
      </c>
      <c r="O52" s="27" t="n">
        <v>0.92307692</v>
      </c>
      <c r="P52" s="27" t="n">
        <v>0.90384615</v>
      </c>
      <c r="Q52" s="27" t="n">
        <v>0.90384615</v>
      </c>
      <c r="R52" s="27" t="n">
        <v>0.86538462</v>
      </c>
      <c r="S52" s="27" t="n">
        <v>0.86538462</v>
      </c>
      <c r="T52" s="27" t="n">
        <v>0.86538462</v>
      </c>
      <c r="U52" s="27" t="n">
        <v>0.84615385</v>
      </c>
      <c r="V52" s="27" t="n">
        <v>0.84615385</v>
      </c>
      <c r="W52" s="27" t="n">
        <v>0.84615385</v>
      </c>
      <c r="X52" s="27" t="n">
        <v>0.84615385</v>
      </c>
      <c r="Y52" s="27" t="n">
        <v>0.82692308</v>
      </c>
      <c r="Z52" s="27" t="n">
        <v>0.82692308</v>
      </c>
      <c r="AA52" s="27" t="n">
        <v>0.82692308</v>
      </c>
      <c r="AB52" s="27" t="n">
        <v>0.82692308</v>
      </c>
      <c r="AC52" s="27" t="n">
        <v>0.82692308</v>
      </c>
      <c r="AD52" s="27" t="n">
        <v>0.80769231</v>
      </c>
      <c r="AE52" s="27" t="n">
        <v>0.80769231</v>
      </c>
      <c r="AF52" s="27" t="n">
        <v>0.80769231</v>
      </c>
      <c r="AG52" s="27" t="n">
        <v>0.80769231</v>
      </c>
      <c r="AH52" s="27" t="n">
        <v>0.80769231</v>
      </c>
      <c r="AI52" s="27" t="n">
        <v>0.80769231</v>
      </c>
      <c r="AJ52" s="27" t="n">
        <v>0.80769231</v>
      </c>
      <c r="AK52" s="27" t="n">
        <v>0.80769231</v>
      </c>
      <c r="AL52" s="27" t="n">
        <v>0.80769231</v>
      </c>
    </row>
    <row r="53" customFormat="false" ht="15" hidden="false" customHeight="false" outlineLevel="0" collapsed="false">
      <c r="A53" s="9" t="s">
        <v>306</v>
      </c>
      <c r="B53" s="27" t="n">
        <v>1</v>
      </c>
      <c r="C53" s="27" t="n">
        <v>1</v>
      </c>
      <c r="D53" s="27" t="n">
        <v>1</v>
      </c>
      <c r="E53" s="27" t="n">
        <v>1</v>
      </c>
      <c r="F53" s="27" t="n">
        <v>0.97674419</v>
      </c>
      <c r="G53" s="27" t="n">
        <v>0.97674419</v>
      </c>
      <c r="H53" s="27" t="n">
        <v>0.97674419</v>
      </c>
      <c r="I53" s="27" t="n">
        <v>0.97674419</v>
      </c>
      <c r="J53" s="27" t="n">
        <v>0.97674419</v>
      </c>
      <c r="K53" s="27" t="n">
        <v>0.95348837</v>
      </c>
      <c r="L53" s="27" t="n">
        <v>0.95348837</v>
      </c>
      <c r="M53" s="27" t="n">
        <v>0.95348837</v>
      </c>
      <c r="N53" s="27" t="n">
        <v>0.95348837</v>
      </c>
      <c r="O53" s="27" t="n">
        <v>0.95348837</v>
      </c>
      <c r="P53" s="27" t="n">
        <v>0.95348837</v>
      </c>
      <c r="Q53" s="27" t="n">
        <v>0.95348837</v>
      </c>
      <c r="R53" s="27" t="n">
        <v>0.95348837</v>
      </c>
      <c r="S53" s="27" t="n">
        <v>0.95348837</v>
      </c>
      <c r="T53" s="27" t="n">
        <v>0.95348837</v>
      </c>
      <c r="U53" s="27" t="n">
        <v>0.95348837</v>
      </c>
      <c r="V53" s="27" t="n">
        <v>0.95348837</v>
      </c>
      <c r="W53" s="27" t="n">
        <v>0.95348837</v>
      </c>
      <c r="X53" s="27" t="n">
        <v>0.95348837</v>
      </c>
      <c r="Y53" s="27" t="n">
        <v>0.95348837</v>
      </c>
      <c r="Z53" s="27" t="n">
        <v>0.95348837</v>
      </c>
      <c r="AA53" s="27" t="n">
        <v>0.95348837</v>
      </c>
      <c r="AB53" s="27" t="n">
        <v>0.95348837</v>
      </c>
      <c r="AC53" s="27" t="n">
        <v>0.95348837</v>
      </c>
      <c r="AD53" s="27" t="n">
        <v>0.90697674</v>
      </c>
      <c r="AE53" s="27" t="n">
        <v>0.90697674</v>
      </c>
      <c r="AF53" s="27" t="n">
        <v>0.90697674</v>
      </c>
      <c r="AG53" s="27" t="n">
        <v>0.90697674</v>
      </c>
      <c r="AH53" s="27" t="n">
        <v>0.90697674</v>
      </c>
      <c r="AI53" s="27" t="n">
        <v>0.88372093</v>
      </c>
      <c r="AJ53" s="27" t="n">
        <v>0.86046512</v>
      </c>
      <c r="AK53" s="27" t="n">
        <v>0.81395349</v>
      </c>
      <c r="AL53" s="27" t="n">
        <v>0.81395349</v>
      </c>
    </row>
    <row r="54" customFormat="false" ht="15" hidden="false" customHeight="false" outlineLevel="0" collapsed="false">
      <c r="A54" s="9" t="s">
        <v>307</v>
      </c>
      <c r="B54" s="27" t="n">
        <v>1</v>
      </c>
      <c r="C54" s="27" t="n">
        <v>1</v>
      </c>
      <c r="D54" s="27" t="n">
        <v>0.98076923</v>
      </c>
      <c r="E54" s="27" t="n">
        <v>0.98076923</v>
      </c>
      <c r="F54" s="27" t="n">
        <v>0.98076923</v>
      </c>
      <c r="G54" s="27" t="n">
        <v>0.98076923</v>
      </c>
      <c r="H54" s="27" t="n">
        <v>0.96153846</v>
      </c>
      <c r="I54" s="27" t="n">
        <v>0.96153846</v>
      </c>
      <c r="J54" s="27" t="n">
        <v>0.96153846</v>
      </c>
      <c r="K54" s="27" t="n">
        <v>0.94230769</v>
      </c>
      <c r="L54" s="27" t="n">
        <v>0.94230769</v>
      </c>
      <c r="M54" s="27" t="n">
        <v>0.94230769</v>
      </c>
      <c r="N54" s="27" t="n">
        <v>0.94230769</v>
      </c>
      <c r="O54" s="27" t="n">
        <v>0.92307692</v>
      </c>
      <c r="P54" s="27" t="n">
        <v>0.90384615</v>
      </c>
      <c r="Q54" s="27" t="n">
        <v>0.88461538</v>
      </c>
      <c r="R54" s="27" t="n">
        <v>0.88461538</v>
      </c>
      <c r="S54" s="27" t="n">
        <v>0.88461538</v>
      </c>
      <c r="T54" s="27" t="n">
        <v>0.88461538</v>
      </c>
      <c r="U54" s="27" t="n">
        <v>0.86538462</v>
      </c>
      <c r="V54" s="27" t="n">
        <v>0.86538462</v>
      </c>
      <c r="W54" s="27" t="n">
        <v>0.84615385</v>
      </c>
      <c r="X54" s="27" t="n">
        <v>0.84615385</v>
      </c>
      <c r="Y54" s="27" t="n">
        <v>0.80769231</v>
      </c>
      <c r="Z54" s="27" t="n">
        <v>0.80769231</v>
      </c>
      <c r="AA54" s="27" t="n">
        <v>0.80769231</v>
      </c>
      <c r="AB54" s="27" t="n">
        <v>0.78846154</v>
      </c>
      <c r="AC54" s="27" t="n">
        <v>0.78846154</v>
      </c>
      <c r="AD54" s="27" t="n">
        <v>0.78846154</v>
      </c>
      <c r="AE54" s="27" t="n">
        <v>0.78846154</v>
      </c>
      <c r="AF54" s="27" t="n">
        <v>0.78846154</v>
      </c>
      <c r="AG54" s="27" t="n">
        <v>0.78846154</v>
      </c>
      <c r="AH54" s="27" t="n">
        <v>0.78846154</v>
      </c>
      <c r="AI54" s="27" t="n">
        <v>0.78846154</v>
      </c>
      <c r="AJ54" s="27" t="n">
        <v>0.78846154</v>
      </c>
      <c r="AK54" s="27" t="n">
        <v>0.78846154</v>
      </c>
      <c r="AL54" s="27" t="n">
        <v>0.78846154</v>
      </c>
    </row>
    <row r="55" customFormat="false" ht="15" hidden="false" customHeight="false" outlineLevel="0" collapsed="false">
      <c r="A55" s="9" t="s">
        <v>308</v>
      </c>
      <c r="B55" s="27" t="n">
        <v>1</v>
      </c>
      <c r="C55" s="27" t="n">
        <v>1</v>
      </c>
      <c r="D55" s="27" t="n">
        <v>0.98507463</v>
      </c>
      <c r="E55" s="27" t="n">
        <v>0.98507463</v>
      </c>
      <c r="F55" s="27" t="n">
        <v>0.98507463</v>
      </c>
      <c r="G55" s="27" t="n">
        <v>0.97014925</v>
      </c>
      <c r="H55" s="27" t="n">
        <v>0.97014925</v>
      </c>
      <c r="I55" s="27" t="n">
        <v>0.97014925</v>
      </c>
      <c r="J55" s="27" t="n">
        <v>0.97014925</v>
      </c>
      <c r="K55" s="27" t="n">
        <v>0.97014925</v>
      </c>
      <c r="L55" s="27" t="n">
        <v>0.95522388</v>
      </c>
      <c r="M55" s="27" t="n">
        <v>0.95522388</v>
      </c>
      <c r="N55" s="27" t="n">
        <v>0.95522388</v>
      </c>
      <c r="O55" s="27" t="n">
        <v>0.94029851</v>
      </c>
      <c r="P55" s="27" t="n">
        <v>0.94029851</v>
      </c>
      <c r="Q55" s="27" t="n">
        <v>0.94029851</v>
      </c>
      <c r="R55" s="27" t="n">
        <v>0.94029851</v>
      </c>
      <c r="S55" s="27" t="n">
        <v>0.94029851</v>
      </c>
      <c r="T55" s="27" t="n">
        <v>0.94029851</v>
      </c>
      <c r="U55" s="27" t="n">
        <v>0.94029851</v>
      </c>
      <c r="V55" s="27" t="n">
        <v>0.94029851</v>
      </c>
      <c r="W55" s="27" t="n">
        <v>0.92537313</v>
      </c>
      <c r="X55" s="27" t="n">
        <v>0.92537313</v>
      </c>
      <c r="Y55" s="27" t="n">
        <v>0.92537313</v>
      </c>
      <c r="Z55" s="27" t="n">
        <v>0.92537313</v>
      </c>
      <c r="AA55" s="27" t="n">
        <v>0.89552239</v>
      </c>
      <c r="AB55" s="27" t="n">
        <v>0.88059701</v>
      </c>
      <c r="AC55" s="27" t="n">
        <v>0.86567164</v>
      </c>
      <c r="AD55" s="27" t="n">
        <v>0.86567164</v>
      </c>
      <c r="AE55" s="27" t="n">
        <v>0.82089552</v>
      </c>
      <c r="AF55" s="27" t="n">
        <v>0.80597015</v>
      </c>
      <c r="AG55" s="27" t="n">
        <v>0.76119403</v>
      </c>
      <c r="AH55" s="27" t="n">
        <v>0.74626866</v>
      </c>
      <c r="AI55" s="27" t="n">
        <v>0.74626866</v>
      </c>
      <c r="AJ55" s="27" t="n">
        <v>0.74626866</v>
      </c>
      <c r="AK55" s="27" t="n">
        <v>0.73134328</v>
      </c>
      <c r="AL55" s="27" t="n">
        <v>0.73134328</v>
      </c>
    </row>
    <row r="56" customFormat="false" ht="15" hidden="false" customHeight="false" outlineLevel="0" collapsed="false">
      <c r="A56" s="9" t="s">
        <v>309</v>
      </c>
      <c r="B56" s="27" t="n">
        <v>1</v>
      </c>
      <c r="C56" s="27" t="n">
        <v>1</v>
      </c>
      <c r="D56" s="27" t="n">
        <v>0.98333333</v>
      </c>
      <c r="E56" s="27" t="n">
        <v>0.98333333</v>
      </c>
      <c r="F56" s="27" t="n">
        <v>0.96666667</v>
      </c>
      <c r="G56" s="27" t="n">
        <v>0.93333333</v>
      </c>
      <c r="H56" s="27" t="n">
        <v>0.93333333</v>
      </c>
      <c r="I56" s="27" t="n">
        <v>0.93333333</v>
      </c>
      <c r="J56" s="27" t="n">
        <v>0.93333333</v>
      </c>
      <c r="K56" s="27" t="n">
        <v>0.88333333</v>
      </c>
      <c r="L56" s="27" t="n">
        <v>0.88333333</v>
      </c>
      <c r="M56" s="27" t="n">
        <v>0.88333333</v>
      </c>
      <c r="N56" s="27" t="n">
        <v>0.88333333</v>
      </c>
      <c r="O56" s="27" t="n">
        <v>0.88333333</v>
      </c>
      <c r="P56" s="27" t="n">
        <v>0.86666667</v>
      </c>
      <c r="Q56" s="27" t="n">
        <v>0.86666667</v>
      </c>
      <c r="R56" s="27" t="n">
        <v>0.85</v>
      </c>
      <c r="S56" s="27" t="n">
        <v>0.83333333</v>
      </c>
      <c r="T56" s="27" t="n">
        <v>0.83333333</v>
      </c>
      <c r="U56" s="27" t="n">
        <v>0.78333333</v>
      </c>
      <c r="V56" s="27" t="n">
        <v>0.76666667</v>
      </c>
      <c r="W56" s="27" t="n">
        <v>0.75</v>
      </c>
      <c r="X56" s="27" t="n">
        <v>0.75</v>
      </c>
      <c r="Y56" s="27" t="n">
        <v>0.75</v>
      </c>
      <c r="Z56" s="27" t="n">
        <v>0.73333333</v>
      </c>
      <c r="AA56" s="27" t="n">
        <v>0.73333333</v>
      </c>
      <c r="AB56" s="27" t="n">
        <v>0.73333333</v>
      </c>
      <c r="AC56" s="27" t="n">
        <v>0.73333333</v>
      </c>
      <c r="AD56" s="27" t="n">
        <v>0.73333333</v>
      </c>
      <c r="AE56" s="27" t="n">
        <v>0.71666667</v>
      </c>
      <c r="AF56" s="27" t="n">
        <v>0.7</v>
      </c>
      <c r="AG56" s="27" t="n">
        <v>0.68333333</v>
      </c>
      <c r="AH56" s="27" t="n">
        <v>0.68333333</v>
      </c>
      <c r="AI56" s="27" t="n">
        <v>0.68333333</v>
      </c>
      <c r="AJ56" s="27" t="n">
        <v>0.66666667</v>
      </c>
      <c r="AK56" s="27" t="n">
        <v>0.66666667</v>
      </c>
      <c r="AL56" s="27" t="n">
        <v>0.66666667</v>
      </c>
    </row>
    <row r="57" customFormat="false" ht="15" hidden="false" customHeight="false" outlineLevel="0" collapsed="false">
      <c r="A57" s="9" t="s">
        <v>310</v>
      </c>
      <c r="B57" s="27" t="n">
        <v>1</v>
      </c>
      <c r="C57" s="27" t="n">
        <v>1</v>
      </c>
      <c r="D57" s="27" t="n">
        <v>1</v>
      </c>
      <c r="E57" s="27" t="n">
        <v>1</v>
      </c>
      <c r="F57" s="27" t="n">
        <v>0.97560976</v>
      </c>
      <c r="G57" s="27" t="n">
        <v>0.97560976</v>
      </c>
      <c r="H57" s="27" t="n">
        <v>0.97560976</v>
      </c>
      <c r="I57" s="27" t="n">
        <v>0.95121951</v>
      </c>
      <c r="J57" s="27" t="n">
        <v>0.95121951</v>
      </c>
      <c r="K57" s="27" t="n">
        <v>0.95121951</v>
      </c>
      <c r="L57" s="27" t="n">
        <v>0.92682927</v>
      </c>
      <c r="M57" s="27" t="n">
        <v>0.92682927</v>
      </c>
      <c r="N57" s="27" t="n">
        <v>0.92682927</v>
      </c>
      <c r="O57" s="27" t="n">
        <v>0.90243902</v>
      </c>
      <c r="P57" s="27" t="n">
        <v>0.90243902</v>
      </c>
      <c r="Q57" s="27" t="n">
        <v>0.90243902</v>
      </c>
      <c r="R57" s="27" t="n">
        <v>0.90243902</v>
      </c>
      <c r="S57" s="27" t="n">
        <v>0.90243902</v>
      </c>
      <c r="T57" s="27" t="n">
        <v>0.87804878</v>
      </c>
      <c r="U57" s="27" t="n">
        <v>0.87804878</v>
      </c>
      <c r="V57" s="27" t="n">
        <v>0.85365854</v>
      </c>
      <c r="W57" s="27" t="n">
        <v>0.85365854</v>
      </c>
      <c r="X57" s="27" t="n">
        <v>0.85365854</v>
      </c>
      <c r="Y57" s="27" t="n">
        <v>0.85365854</v>
      </c>
      <c r="Z57" s="27" t="n">
        <v>0.82926829</v>
      </c>
      <c r="AA57" s="27" t="n">
        <v>0.80487805</v>
      </c>
      <c r="AB57" s="27" t="n">
        <v>0.7804878</v>
      </c>
      <c r="AC57" s="27" t="n">
        <v>0.7804878</v>
      </c>
      <c r="AD57" s="27" t="n">
        <v>0.7804878</v>
      </c>
      <c r="AE57" s="27" t="n">
        <v>0.7804878</v>
      </c>
      <c r="AF57" s="27" t="n">
        <v>0.7804878</v>
      </c>
      <c r="AG57" s="27" t="n">
        <v>0.7804878</v>
      </c>
      <c r="AH57" s="27" t="n">
        <v>0.7804878</v>
      </c>
      <c r="AI57" s="27" t="n">
        <v>0.7804878</v>
      </c>
      <c r="AJ57" s="27" t="n">
        <v>0.7804878</v>
      </c>
      <c r="AK57" s="27" t="n">
        <v>0.7804878</v>
      </c>
      <c r="AL57" s="27" t="n">
        <v>0.7804878</v>
      </c>
    </row>
    <row r="58" customFormat="false" ht="15" hidden="false" customHeight="false" outlineLevel="0" collapsed="false">
      <c r="A58" s="9" t="s">
        <v>311</v>
      </c>
      <c r="B58" s="27" t="n">
        <v>1</v>
      </c>
      <c r="C58" s="27" t="n">
        <v>1</v>
      </c>
      <c r="D58" s="27" t="n">
        <v>1</v>
      </c>
      <c r="E58" s="27" t="n">
        <v>1</v>
      </c>
      <c r="F58" s="27" t="n">
        <v>0.98</v>
      </c>
      <c r="G58" s="27" t="n">
        <v>0.98</v>
      </c>
      <c r="H58" s="27" t="n">
        <v>0.96</v>
      </c>
      <c r="I58" s="27" t="n">
        <v>0.96</v>
      </c>
      <c r="J58" s="27" t="n">
        <v>0.96</v>
      </c>
      <c r="K58" s="27" t="n">
        <v>0.96</v>
      </c>
      <c r="L58" s="27" t="n">
        <v>0.96</v>
      </c>
      <c r="M58" s="27" t="n">
        <v>0.94</v>
      </c>
      <c r="N58" s="27" t="n">
        <v>0.94</v>
      </c>
      <c r="O58" s="27" t="n">
        <v>0.94</v>
      </c>
      <c r="P58" s="27" t="n">
        <v>0.94</v>
      </c>
      <c r="Q58" s="27" t="n">
        <v>0.94</v>
      </c>
      <c r="R58" s="27" t="n">
        <v>0.94</v>
      </c>
      <c r="S58" s="27" t="n">
        <v>0.9</v>
      </c>
      <c r="T58" s="27" t="n">
        <v>0.9</v>
      </c>
      <c r="U58" s="27" t="n">
        <v>0.9</v>
      </c>
      <c r="V58" s="27" t="n">
        <v>0.9</v>
      </c>
      <c r="W58" s="27" t="n">
        <v>0.9</v>
      </c>
      <c r="X58" s="27" t="n">
        <v>0.9</v>
      </c>
      <c r="Y58" s="27" t="n">
        <v>0.9</v>
      </c>
      <c r="Z58" s="27" t="n">
        <v>0.9</v>
      </c>
      <c r="AA58" s="27" t="n">
        <v>0.88</v>
      </c>
      <c r="AB58" s="27" t="n">
        <v>0.88</v>
      </c>
      <c r="AC58" s="27" t="n">
        <v>0.86</v>
      </c>
      <c r="AD58" s="27" t="n">
        <v>0.86</v>
      </c>
      <c r="AE58" s="27" t="n">
        <v>0.84</v>
      </c>
      <c r="AF58" s="27" t="n">
        <v>0.84</v>
      </c>
      <c r="AG58" s="27" t="n">
        <v>0.82</v>
      </c>
      <c r="AH58" s="27" t="n">
        <v>0.8</v>
      </c>
      <c r="AI58" s="27" t="n">
        <v>0.8</v>
      </c>
      <c r="AJ58" s="27" t="n">
        <v>0.8</v>
      </c>
      <c r="AK58" s="27" t="n">
        <v>0.8</v>
      </c>
      <c r="AL58" s="27" t="n">
        <v>0.8</v>
      </c>
    </row>
    <row r="59" customFormat="false" ht="15" hidden="false" customHeight="false" outlineLevel="0" collapsed="false">
      <c r="A59" s="9" t="s">
        <v>312</v>
      </c>
      <c r="B59" s="27" t="n">
        <v>1</v>
      </c>
      <c r="C59" s="27" t="n">
        <v>1</v>
      </c>
      <c r="D59" s="27" t="n">
        <v>0.98275862</v>
      </c>
      <c r="E59" s="27" t="n">
        <v>0.98275862</v>
      </c>
      <c r="F59" s="27" t="n">
        <v>0.98275862</v>
      </c>
      <c r="G59" s="27" t="n">
        <v>0.98275862</v>
      </c>
      <c r="H59" s="27" t="n">
        <v>0.96551724</v>
      </c>
      <c r="I59" s="27" t="n">
        <v>0.94827586</v>
      </c>
      <c r="J59" s="27" t="n">
        <v>0.9137931</v>
      </c>
      <c r="K59" s="27" t="n">
        <v>0.89655172</v>
      </c>
      <c r="L59" s="27" t="n">
        <v>0.89655172</v>
      </c>
      <c r="M59" s="27" t="n">
        <v>0.87931034</v>
      </c>
      <c r="N59" s="27" t="n">
        <v>0.87931034</v>
      </c>
      <c r="O59" s="27" t="n">
        <v>0.86206897</v>
      </c>
      <c r="P59" s="27" t="n">
        <v>0.86206897</v>
      </c>
      <c r="Q59" s="27" t="n">
        <v>0.86206897</v>
      </c>
      <c r="R59" s="27" t="n">
        <v>0.84482759</v>
      </c>
      <c r="S59" s="27" t="n">
        <v>0.84482759</v>
      </c>
      <c r="T59" s="27" t="n">
        <v>0.84482759</v>
      </c>
      <c r="U59" s="27" t="n">
        <v>0.82758621</v>
      </c>
      <c r="V59" s="27" t="n">
        <v>0.82758621</v>
      </c>
      <c r="W59" s="27" t="n">
        <v>0.82758621</v>
      </c>
      <c r="X59" s="27" t="n">
        <v>0.82758621</v>
      </c>
      <c r="Y59" s="27" t="n">
        <v>0.81034483</v>
      </c>
      <c r="Z59" s="27" t="n">
        <v>0.81034483</v>
      </c>
      <c r="AA59" s="27" t="n">
        <v>0.81034483</v>
      </c>
      <c r="AB59" s="27" t="n">
        <v>0.81034483</v>
      </c>
      <c r="AC59" s="27" t="n">
        <v>0.81034483</v>
      </c>
      <c r="AD59" s="27" t="n">
        <v>0.79310345</v>
      </c>
      <c r="AE59" s="27" t="n">
        <v>0.79310345</v>
      </c>
      <c r="AF59" s="27" t="n">
        <v>0.77586207</v>
      </c>
      <c r="AG59" s="27" t="n">
        <v>0.77586207</v>
      </c>
      <c r="AH59" s="27" t="n">
        <v>0.77586207</v>
      </c>
      <c r="AI59" s="27" t="n">
        <v>0.77586207</v>
      </c>
      <c r="AJ59" s="27" t="n">
        <v>0.77586207</v>
      </c>
      <c r="AK59" s="27" t="n">
        <v>0.74137931</v>
      </c>
      <c r="AL59" s="27" t="n">
        <v>0.74137931</v>
      </c>
    </row>
    <row r="60" customFormat="false" ht="15" hidden="false" customHeight="false" outlineLevel="0" collapsed="false">
      <c r="A60" s="9" t="s">
        <v>313</v>
      </c>
      <c r="B60" s="27" t="n">
        <v>1</v>
      </c>
      <c r="C60" s="27" t="n">
        <v>1</v>
      </c>
      <c r="D60" s="27" t="n">
        <v>1</v>
      </c>
      <c r="E60" s="27" t="n">
        <v>1</v>
      </c>
      <c r="F60" s="27" t="n">
        <v>1</v>
      </c>
      <c r="G60" s="27" t="n">
        <v>0.98245614</v>
      </c>
      <c r="H60" s="27" t="n">
        <v>0.94736842</v>
      </c>
      <c r="I60" s="27" t="n">
        <v>0.94736842</v>
      </c>
      <c r="J60" s="27" t="n">
        <v>0.94736842</v>
      </c>
      <c r="K60" s="27" t="n">
        <v>0.92982456</v>
      </c>
      <c r="L60" s="27" t="n">
        <v>0.92982456</v>
      </c>
      <c r="M60" s="27" t="n">
        <v>0.92982456</v>
      </c>
      <c r="N60" s="27" t="n">
        <v>0.92982456</v>
      </c>
      <c r="O60" s="27" t="n">
        <v>0.92982456</v>
      </c>
      <c r="P60" s="27" t="n">
        <v>0.92982456</v>
      </c>
      <c r="Q60" s="27" t="n">
        <v>0.92982456</v>
      </c>
      <c r="R60" s="27" t="n">
        <v>0.92982456</v>
      </c>
      <c r="S60" s="27" t="n">
        <v>0.9122807</v>
      </c>
      <c r="T60" s="27" t="n">
        <v>0.87719298</v>
      </c>
      <c r="U60" s="27" t="n">
        <v>0.87719298</v>
      </c>
      <c r="V60" s="27" t="n">
        <v>0.87719298</v>
      </c>
      <c r="W60" s="27" t="n">
        <v>0.87719298</v>
      </c>
      <c r="X60" s="27" t="n">
        <v>0.85964912</v>
      </c>
      <c r="Y60" s="27" t="n">
        <v>0.85964912</v>
      </c>
      <c r="Z60" s="27" t="n">
        <v>0.85964912</v>
      </c>
      <c r="AA60" s="27" t="n">
        <v>0.85964912</v>
      </c>
      <c r="AB60" s="27" t="n">
        <v>0.85964912</v>
      </c>
      <c r="AC60" s="27" t="n">
        <v>0.85964912</v>
      </c>
      <c r="AD60" s="27" t="n">
        <v>0.85964912</v>
      </c>
      <c r="AE60" s="27" t="n">
        <v>0.84210526</v>
      </c>
      <c r="AF60" s="27" t="n">
        <v>0.84210526</v>
      </c>
      <c r="AG60" s="27" t="n">
        <v>0.84210526</v>
      </c>
      <c r="AH60" s="27" t="n">
        <v>0.84210526</v>
      </c>
      <c r="AI60" s="27" t="n">
        <v>0.8245614</v>
      </c>
      <c r="AJ60" s="27" t="n">
        <v>0.8245614</v>
      </c>
      <c r="AK60" s="27" t="n">
        <v>0.80701754</v>
      </c>
      <c r="AL60" s="27" t="n">
        <v>0.80701754</v>
      </c>
    </row>
    <row r="61" customFormat="false" ht="15" hidden="false" customHeight="false" outlineLevel="0" collapsed="false">
      <c r="A61" s="9" t="s">
        <v>314</v>
      </c>
      <c r="B61" s="27" t="n">
        <v>1</v>
      </c>
      <c r="C61" s="27" t="n">
        <v>1</v>
      </c>
      <c r="D61" s="27" t="n">
        <v>1</v>
      </c>
      <c r="E61" s="27" t="n">
        <v>1</v>
      </c>
      <c r="F61" s="27" t="n">
        <v>1</v>
      </c>
      <c r="G61" s="27" t="n">
        <v>1</v>
      </c>
      <c r="H61" s="27" t="n">
        <v>1</v>
      </c>
      <c r="I61" s="27" t="n">
        <v>1</v>
      </c>
      <c r="J61" s="27" t="n">
        <v>0.98245614</v>
      </c>
      <c r="K61" s="27" t="n">
        <v>0.96491228</v>
      </c>
      <c r="L61" s="27" t="n">
        <v>0.92982456</v>
      </c>
      <c r="M61" s="27" t="n">
        <v>0.9122807</v>
      </c>
      <c r="N61" s="27" t="n">
        <v>0.9122807</v>
      </c>
      <c r="O61" s="27" t="n">
        <v>0.9122807</v>
      </c>
      <c r="P61" s="27" t="n">
        <v>0.89473684</v>
      </c>
      <c r="Q61" s="27" t="n">
        <v>0.87719298</v>
      </c>
      <c r="R61" s="27" t="n">
        <v>0.87719298</v>
      </c>
      <c r="S61" s="27" t="n">
        <v>0.87719298</v>
      </c>
      <c r="T61" s="27" t="n">
        <v>0.87719298</v>
      </c>
      <c r="U61" s="27" t="n">
        <v>0.87719298</v>
      </c>
      <c r="V61" s="27" t="n">
        <v>0.87719298</v>
      </c>
      <c r="W61" s="27" t="n">
        <v>0.87719298</v>
      </c>
      <c r="X61" s="27" t="n">
        <v>0.85964912</v>
      </c>
      <c r="Y61" s="27" t="n">
        <v>0.85964912</v>
      </c>
      <c r="Z61" s="27" t="n">
        <v>0.84210526</v>
      </c>
      <c r="AA61" s="27" t="n">
        <v>0.8245614</v>
      </c>
      <c r="AB61" s="27" t="n">
        <v>0.8245614</v>
      </c>
      <c r="AC61" s="27" t="n">
        <v>0.80701754</v>
      </c>
      <c r="AD61" s="27" t="n">
        <v>0.77192982</v>
      </c>
      <c r="AE61" s="27" t="n">
        <v>0.77192982</v>
      </c>
      <c r="AF61" s="27" t="n">
        <v>0.77192982</v>
      </c>
      <c r="AG61" s="27" t="n">
        <v>0.77192982</v>
      </c>
      <c r="AH61" s="27" t="n">
        <v>0.77192982</v>
      </c>
      <c r="AI61" s="27" t="n">
        <v>0.77192982</v>
      </c>
      <c r="AJ61" s="27" t="n">
        <v>0.77192982</v>
      </c>
      <c r="AK61" s="27" t="n">
        <v>0.77192982</v>
      </c>
      <c r="AL61" s="27" t="n">
        <v>0.77192982</v>
      </c>
    </row>
    <row r="62" customFormat="false" ht="15" hidden="false" customHeight="false" outlineLevel="0" collapsed="false">
      <c r="A62" s="9" t="s">
        <v>315</v>
      </c>
      <c r="B62" s="27" t="n">
        <v>1</v>
      </c>
      <c r="C62" s="27" t="n">
        <v>1</v>
      </c>
      <c r="D62" s="27" t="n">
        <v>1</v>
      </c>
      <c r="E62" s="27" t="n">
        <v>1</v>
      </c>
      <c r="F62" s="27" t="n">
        <v>0.98412698</v>
      </c>
      <c r="G62" s="27" t="n">
        <v>0.98412698</v>
      </c>
      <c r="H62" s="27" t="n">
        <v>0.96825397</v>
      </c>
      <c r="I62" s="27" t="n">
        <v>0.96825397</v>
      </c>
      <c r="J62" s="27" t="n">
        <v>0.93650794</v>
      </c>
      <c r="K62" s="27" t="n">
        <v>0.93650794</v>
      </c>
      <c r="L62" s="27" t="n">
        <v>0.93650794</v>
      </c>
      <c r="M62" s="27" t="n">
        <v>0.92063492</v>
      </c>
      <c r="N62" s="27" t="n">
        <v>0.88888889</v>
      </c>
      <c r="O62" s="27" t="n">
        <v>0.88888889</v>
      </c>
      <c r="P62" s="27" t="n">
        <v>0.88888889</v>
      </c>
      <c r="Q62" s="27" t="n">
        <v>0.85714286</v>
      </c>
      <c r="R62" s="27" t="n">
        <v>0.85714286</v>
      </c>
      <c r="S62" s="27" t="n">
        <v>0.84126984</v>
      </c>
      <c r="T62" s="27" t="n">
        <v>0.84126984</v>
      </c>
      <c r="U62" s="27" t="n">
        <v>0.84126984</v>
      </c>
      <c r="V62" s="27" t="n">
        <v>0.80952381</v>
      </c>
      <c r="W62" s="27" t="n">
        <v>0.80952381</v>
      </c>
      <c r="X62" s="27" t="n">
        <v>0.79365079</v>
      </c>
      <c r="Y62" s="27" t="n">
        <v>0.79365079</v>
      </c>
      <c r="Z62" s="27" t="n">
        <v>0.77777778</v>
      </c>
      <c r="AA62" s="27" t="n">
        <v>0.76190476</v>
      </c>
      <c r="AB62" s="27" t="n">
        <v>0.76190476</v>
      </c>
      <c r="AC62" s="27" t="n">
        <v>0.76190476</v>
      </c>
      <c r="AD62" s="27" t="n">
        <v>0.76190476</v>
      </c>
      <c r="AE62" s="27" t="n">
        <v>0.73015873</v>
      </c>
      <c r="AF62" s="27" t="n">
        <v>0.73015873</v>
      </c>
      <c r="AG62" s="27" t="n">
        <v>0.73015873</v>
      </c>
      <c r="AH62" s="27" t="n">
        <v>0.73015873</v>
      </c>
      <c r="AI62" s="27" t="n">
        <v>0.73015873</v>
      </c>
      <c r="AJ62" s="27" t="n">
        <v>0.71428571</v>
      </c>
      <c r="AK62" s="27" t="n">
        <v>0.71428571</v>
      </c>
      <c r="AL62" s="27" t="n">
        <v>0.71428571</v>
      </c>
    </row>
    <row r="63" customFormat="false" ht="15" hidden="false" customHeight="false" outlineLevel="0" collapsed="false">
      <c r="A63" s="9" t="s">
        <v>316</v>
      </c>
      <c r="B63" s="27" t="n">
        <v>1</v>
      </c>
      <c r="C63" s="27" t="n">
        <v>1</v>
      </c>
      <c r="D63" s="27" t="n">
        <v>1</v>
      </c>
      <c r="E63" s="27" t="n">
        <v>1</v>
      </c>
      <c r="F63" s="27" t="n">
        <v>1</v>
      </c>
      <c r="G63" s="27" t="n">
        <v>0.98461538</v>
      </c>
      <c r="H63" s="27" t="n">
        <v>0.96923077</v>
      </c>
      <c r="I63" s="27" t="n">
        <v>0.96923077</v>
      </c>
      <c r="J63" s="27" t="n">
        <v>0.95384615</v>
      </c>
      <c r="K63" s="27" t="n">
        <v>0.92307692</v>
      </c>
      <c r="L63" s="27" t="n">
        <v>0.90769231</v>
      </c>
      <c r="M63" s="27" t="n">
        <v>0.90769231</v>
      </c>
      <c r="N63" s="27" t="n">
        <v>0.90769231</v>
      </c>
      <c r="O63" s="27" t="n">
        <v>0.90769231</v>
      </c>
      <c r="P63" s="27" t="n">
        <v>0.90769231</v>
      </c>
      <c r="Q63" s="27" t="n">
        <v>0.90769231</v>
      </c>
      <c r="R63" s="27" t="n">
        <v>0.89230769</v>
      </c>
      <c r="S63" s="27" t="n">
        <v>0.87692308</v>
      </c>
      <c r="T63" s="27" t="n">
        <v>0.84615385</v>
      </c>
      <c r="U63" s="27" t="n">
        <v>0.84615385</v>
      </c>
      <c r="V63" s="27" t="n">
        <v>0.81538462</v>
      </c>
      <c r="W63" s="27" t="n">
        <v>0.81538462</v>
      </c>
      <c r="X63" s="27" t="n">
        <v>0.81538462</v>
      </c>
      <c r="Y63" s="27" t="n">
        <v>0.78461538</v>
      </c>
      <c r="Z63" s="27" t="n">
        <v>0.76923077</v>
      </c>
      <c r="AA63" s="27" t="n">
        <v>0.75384615</v>
      </c>
      <c r="AB63" s="27" t="n">
        <v>0.73846154</v>
      </c>
      <c r="AC63" s="27" t="n">
        <v>0.73846154</v>
      </c>
      <c r="AD63" s="27" t="n">
        <v>0.73846154</v>
      </c>
      <c r="AE63" s="27" t="n">
        <v>0.72307692</v>
      </c>
      <c r="AF63" s="27" t="n">
        <v>0.69230769</v>
      </c>
      <c r="AG63" s="27" t="n">
        <v>0.66153846</v>
      </c>
      <c r="AH63" s="27" t="n">
        <v>0.64615385</v>
      </c>
      <c r="AI63" s="27" t="n">
        <v>0.64615385</v>
      </c>
      <c r="AJ63" s="27" t="n">
        <v>0.64615385</v>
      </c>
      <c r="AK63" s="27" t="n">
        <v>0.63076923</v>
      </c>
      <c r="AL63" s="27" t="n">
        <v>0.63076923</v>
      </c>
    </row>
    <row r="64" customFormat="false" ht="15" hidden="false" customHeight="false" outlineLevel="0" collapsed="false">
      <c r="A64" s="9" t="s">
        <v>317</v>
      </c>
      <c r="B64" s="27" t="n">
        <v>1</v>
      </c>
      <c r="C64" s="27" t="n">
        <v>1</v>
      </c>
      <c r="D64" s="27" t="n">
        <v>1</v>
      </c>
      <c r="E64" s="27" t="n">
        <v>0.98360656</v>
      </c>
      <c r="F64" s="27" t="n">
        <v>0.98360656</v>
      </c>
      <c r="G64" s="27" t="n">
        <v>0.96721311</v>
      </c>
      <c r="H64" s="27" t="n">
        <v>0.93442623</v>
      </c>
      <c r="I64" s="27" t="n">
        <v>0.91803279</v>
      </c>
      <c r="J64" s="27" t="n">
        <v>0.91803279</v>
      </c>
      <c r="K64" s="27" t="n">
        <v>0.91803279</v>
      </c>
      <c r="L64" s="27" t="n">
        <v>0.91803279</v>
      </c>
      <c r="M64" s="27" t="n">
        <v>0.91803279</v>
      </c>
      <c r="N64" s="27" t="n">
        <v>0.91803279</v>
      </c>
      <c r="O64" s="27" t="n">
        <v>0.91803279</v>
      </c>
      <c r="P64" s="27" t="n">
        <v>0.8852459</v>
      </c>
      <c r="Q64" s="27" t="n">
        <v>0.86885246</v>
      </c>
      <c r="R64" s="27" t="n">
        <v>0.85245902</v>
      </c>
      <c r="S64" s="27" t="n">
        <v>0.85245902</v>
      </c>
      <c r="T64" s="27" t="n">
        <v>0.85245902</v>
      </c>
      <c r="U64" s="27" t="n">
        <v>0.83606557</v>
      </c>
      <c r="V64" s="27" t="n">
        <v>0.83606557</v>
      </c>
      <c r="W64" s="27" t="n">
        <v>0.81967213</v>
      </c>
      <c r="X64" s="27" t="n">
        <v>0.78688525</v>
      </c>
      <c r="Y64" s="27" t="n">
        <v>0.78688525</v>
      </c>
      <c r="Z64" s="27" t="n">
        <v>0.75409836</v>
      </c>
      <c r="AA64" s="27" t="n">
        <v>0.73770492</v>
      </c>
      <c r="AB64" s="27" t="n">
        <v>0.73770492</v>
      </c>
      <c r="AC64" s="27" t="n">
        <v>0.73770492</v>
      </c>
      <c r="AD64" s="27" t="n">
        <v>0.72131148</v>
      </c>
      <c r="AE64" s="27" t="n">
        <v>0.72131148</v>
      </c>
      <c r="AF64" s="27" t="n">
        <v>0.72131148</v>
      </c>
      <c r="AG64" s="27" t="n">
        <v>0.72131148</v>
      </c>
      <c r="AH64" s="27" t="n">
        <v>0.70491803</v>
      </c>
      <c r="AI64" s="27" t="n">
        <v>0.70491803</v>
      </c>
      <c r="AJ64" s="27" t="n">
        <v>0.70491803</v>
      </c>
      <c r="AK64" s="27" t="n">
        <v>0.70491803</v>
      </c>
      <c r="AL64" s="27" t="n">
        <v>0.70491803</v>
      </c>
    </row>
    <row r="65" customFormat="false" ht="15" hidden="false" customHeight="false" outlineLevel="0" collapsed="false">
      <c r="A65" s="9" t="s">
        <v>318</v>
      </c>
      <c r="B65" s="27" t="n">
        <v>1</v>
      </c>
      <c r="C65" s="27" t="n">
        <v>1</v>
      </c>
      <c r="D65" s="27" t="n">
        <v>1</v>
      </c>
      <c r="E65" s="27" t="n">
        <v>1</v>
      </c>
      <c r="F65" s="27" t="n">
        <v>1</v>
      </c>
      <c r="G65" s="27" t="n">
        <v>1</v>
      </c>
      <c r="H65" s="27" t="n">
        <v>0.98076923</v>
      </c>
      <c r="I65" s="27" t="n">
        <v>0.96153846</v>
      </c>
      <c r="J65" s="27" t="n">
        <v>0.94230769</v>
      </c>
      <c r="K65" s="27" t="n">
        <v>0.94230769</v>
      </c>
      <c r="L65" s="27" t="n">
        <v>0.92307692</v>
      </c>
      <c r="M65" s="27" t="n">
        <v>0.92307692</v>
      </c>
      <c r="N65" s="27" t="n">
        <v>0.90384615</v>
      </c>
      <c r="O65" s="27" t="n">
        <v>0.90384615</v>
      </c>
      <c r="P65" s="27" t="n">
        <v>0.90384615</v>
      </c>
      <c r="Q65" s="27" t="n">
        <v>0.90384615</v>
      </c>
      <c r="R65" s="27" t="n">
        <v>0.90384615</v>
      </c>
      <c r="S65" s="27" t="n">
        <v>0.88461538</v>
      </c>
      <c r="T65" s="27" t="n">
        <v>0.86538462</v>
      </c>
      <c r="U65" s="27" t="n">
        <v>0.86538462</v>
      </c>
      <c r="V65" s="27" t="n">
        <v>0.84615385</v>
      </c>
      <c r="W65" s="27" t="n">
        <v>0.84615385</v>
      </c>
      <c r="X65" s="27" t="n">
        <v>0.82692308</v>
      </c>
      <c r="Y65" s="27" t="n">
        <v>0.80769231</v>
      </c>
      <c r="Z65" s="27" t="n">
        <v>0.76923077</v>
      </c>
      <c r="AA65" s="27" t="n">
        <v>0.76923077</v>
      </c>
      <c r="AB65" s="27" t="n">
        <v>0.76923077</v>
      </c>
      <c r="AC65" s="27" t="n">
        <v>0.73076923</v>
      </c>
      <c r="AD65" s="27" t="n">
        <v>0.71153846</v>
      </c>
      <c r="AE65" s="27" t="n">
        <v>0.71153846</v>
      </c>
      <c r="AF65" s="27" t="n">
        <v>0.71153846</v>
      </c>
      <c r="AG65" s="27" t="n">
        <v>0.71153846</v>
      </c>
      <c r="AH65" s="27" t="n">
        <v>0.71153846</v>
      </c>
      <c r="AI65" s="27" t="n">
        <v>0.71153846</v>
      </c>
      <c r="AJ65" s="27" t="n">
        <v>0.71153846</v>
      </c>
      <c r="AK65" s="27" t="n">
        <v>0.71153846</v>
      </c>
      <c r="AL65" s="27" t="n">
        <v>0.71153846</v>
      </c>
    </row>
    <row r="66" customFormat="false" ht="15" hidden="false" customHeight="false" outlineLevel="0" collapsed="false">
      <c r="A66" s="9" t="s">
        <v>319</v>
      </c>
      <c r="B66" s="27" t="n">
        <v>1</v>
      </c>
      <c r="C66" s="27" t="n">
        <v>1</v>
      </c>
      <c r="D66" s="27" t="n">
        <v>1</v>
      </c>
      <c r="E66" s="27" t="n">
        <v>1</v>
      </c>
      <c r="F66" s="27" t="n">
        <v>0.984375</v>
      </c>
      <c r="G66" s="27" t="n">
        <v>0.96875</v>
      </c>
      <c r="H66" s="27" t="n">
        <v>0.96875</v>
      </c>
      <c r="I66" s="27" t="n">
        <v>0.96875</v>
      </c>
      <c r="J66" s="27" t="n">
        <v>0.96875</v>
      </c>
      <c r="K66" s="27" t="n">
        <v>0.96875</v>
      </c>
      <c r="L66" s="27" t="n">
        <v>0.953125</v>
      </c>
      <c r="M66" s="27" t="n">
        <v>0.9375</v>
      </c>
      <c r="N66" s="27" t="n">
        <v>0.9375</v>
      </c>
      <c r="O66" s="27" t="n">
        <v>0.9375</v>
      </c>
      <c r="P66" s="27" t="n">
        <v>0.90625</v>
      </c>
      <c r="Q66" s="27" t="n">
        <v>0.890625</v>
      </c>
      <c r="R66" s="27" t="n">
        <v>0.875</v>
      </c>
      <c r="S66" s="27" t="n">
        <v>0.875</v>
      </c>
      <c r="T66" s="27" t="n">
        <v>0.875</v>
      </c>
      <c r="U66" s="27" t="n">
        <v>0.875</v>
      </c>
      <c r="V66" s="27" t="n">
        <v>0.875</v>
      </c>
      <c r="W66" s="27" t="n">
        <v>0.875</v>
      </c>
      <c r="X66" s="27" t="n">
        <v>0.859375</v>
      </c>
      <c r="Y66" s="27" t="n">
        <v>0.859375</v>
      </c>
      <c r="Z66" s="27" t="n">
        <v>0.84375</v>
      </c>
      <c r="AA66" s="27" t="n">
        <v>0.84375</v>
      </c>
      <c r="AB66" s="27" t="n">
        <v>0.84375</v>
      </c>
      <c r="AC66" s="27" t="n">
        <v>0.828125</v>
      </c>
      <c r="AD66" s="27" t="n">
        <v>0.8125</v>
      </c>
      <c r="AE66" s="27" t="n">
        <v>0.796875</v>
      </c>
      <c r="AF66" s="27" t="n">
        <v>0.765625</v>
      </c>
      <c r="AG66" s="27" t="n">
        <v>0.75</v>
      </c>
      <c r="AH66" s="27" t="n">
        <v>0.75</v>
      </c>
      <c r="AI66" s="27" t="n">
        <v>0.71875</v>
      </c>
      <c r="AJ66" s="27" t="n">
        <v>0.71875</v>
      </c>
      <c r="AK66" s="27" t="n">
        <v>0.71875</v>
      </c>
      <c r="AL66" s="27" t="n">
        <v>0.71875</v>
      </c>
    </row>
    <row r="67" customFormat="false" ht="15" hidden="false" customHeight="false" outlineLevel="0" collapsed="false">
      <c r="A67" s="9" t="s">
        <v>320</v>
      </c>
      <c r="B67" s="27" t="n">
        <v>1</v>
      </c>
      <c r="C67" s="27" t="n">
        <v>0.98809524</v>
      </c>
      <c r="D67" s="27" t="n">
        <v>0.98809524</v>
      </c>
      <c r="E67" s="27" t="n">
        <v>0.98809524</v>
      </c>
      <c r="F67" s="27" t="n">
        <v>0.97619048</v>
      </c>
      <c r="G67" s="27" t="n">
        <v>0.95238095</v>
      </c>
      <c r="H67" s="27" t="n">
        <v>0.9047619</v>
      </c>
      <c r="I67" s="27" t="n">
        <v>0.9047619</v>
      </c>
      <c r="J67" s="27" t="n">
        <v>0.85714286</v>
      </c>
      <c r="K67" s="27" t="n">
        <v>0.85714286</v>
      </c>
      <c r="L67" s="27" t="n">
        <v>0.83333333</v>
      </c>
      <c r="M67" s="27" t="n">
        <v>0.80952381</v>
      </c>
      <c r="N67" s="27" t="n">
        <v>0.79761905</v>
      </c>
      <c r="O67" s="27" t="n">
        <v>0.77380952</v>
      </c>
      <c r="P67" s="27" t="n">
        <v>0.76190476</v>
      </c>
      <c r="Q67" s="27" t="n">
        <v>0.75</v>
      </c>
      <c r="R67" s="27" t="n">
        <v>0.73809524</v>
      </c>
      <c r="S67" s="27" t="n">
        <v>0.73809524</v>
      </c>
      <c r="T67" s="27" t="n">
        <v>0.70238095</v>
      </c>
      <c r="U67" s="27" t="n">
        <v>0.67857143</v>
      </c>
      <c r="V67" s="27" t="n">
        <v>0.6547619</v>
      </c>
      <c r="W67" s="27" t="n">
        <v>0.64285714</v>
      </c>
      <c r="X67" s="27" t="n">
        <v>0.63095238</v>
      </c>
      <c r="Y67" s="27" t="n">
        <v>0.5952381</v>
      </c>
      <c r="Z67" s="27" t="n">
        <v>0.5952381</v>
      </c>
      <c r="AA67" s="27" t="n">
        <v>0.55952381</v>
      </c>
      <c r="AB67" s="27" t="n">
        <v>0.54761905</v>
      </c>
      <c r="AC67" s="27" t="n">
        <v>0.54761905</v>
      </c>
      <c r="AD67" s="27" t="n">
        <v>0.54761905</v>
      </c>
      <c r="AE67" s="27" t="n">
        <v>0.51190476</v>
      </c>
      <c r="AF67" s="27" t="n">
        <v>0.5</v>
      </c>
      <c r="AG67" s="27" t="n">
        <v>0.47619048</v>
      </c>
      <c r="AH67" s="27" t="n">
        <v>0.47619048</v>
      </c>
      <c r="AI67" s="27" t="n">
        <v>0.46428571</v>
      </c>
    </row>
    <row r="68" customFormat="false" ht="15" hidden="false" customHeight="false" outlineLevel="0" collapsed="false">
      <c r="A68" s="9" t="s">
        <v>321</v>
      </c>
      <c r="B68" s="27" t="n">
        <v>1</v>
      </c>
      <c r="C68" s="27" t="n">
        <v>1</v>
      </c>
      <c r="D68" s="27" t="n">
        <v>1</v>
      </c>
      <c r="E68" s="27" t="n">
        <v>1</v>
      </c>
      <c r="F68" s="27" t="n">
        <v>0.96428571</v>
      </c>
      <c r="G68" s="27" t="n">
        <v>0.96428571</v>
      </c>
      <c r="H68" s="27" t="n">
        <v>0.91666667</v>
      </c>
      <c r="I68" s="27" t="n">
        <v>0.88095238</v>
      </c>
      <c r="J68" s="27" t="n">
        <v>0.88095238</v>
      </c>
      <c r="K68" s="27" t="n">
        <v>0.88095238</v>
      </c>
      <c r="L68" s="27" t="n">
        <v>0.8452381</v>
      </c>
      <c r="M68" s="27" t="n">
        <v>0.82142857</v>
      </c>
      <c r="N68" s="27" t="n">
        <v>0.79761905</v>
      </c>
      <c r="O68" s="27" t="n">
        <v>0.78571429</v>
      </c>
      <c r="P68" s="27" t="n">
        <v>0.76190476</v>
      </c>
      <c r="Q68" s="27" t="n">
        <v>0.76190476</v>
      </c>
      <c r="R68" s="27" t="n">
        <v>0.72619048</v>
      </c>
      <c r="S68" s="27" t="n">
        <v>0.72619048</v>
      </c>
      <c r="T68" s="27" t="n">
        <v>0.71428571</v>
      </c>
      <c r="U68" s="27" t="n">
        <v>0.69047619</v>
      </c>
      <c r="V68" s="27" t="n">
        <v>0.67857143</v>
      </c>
      <c r="W68" s="27" t="n">
        <v>0.67857143</v>
      </c>
      <c r="X68" s="27" t="n">
        <v>0.67857143</v>
      </c>
      <c r="Y68" s="27" t="n">
        <v>0.67857143</v>
      </c>
      <c r="Z68" s="27" t="n">
        <v>0.6547619</v>
      </c>
      <c r="AA68" s="27" t="n">
        <v>0.64285714</v>
      </c>
      <c r="AB68" s="27" t="n">
        <v>0.64285714</v>
      </c>
      <c r="AC68" s="27" t="n">
        <v>0.63095238</v>
      </c>
      <c r="AD68" s="27" t="n">
        <v>0.60714286</v>
      </c>
      <c r="AE68" s="27" t="n">
        <v>0.5952381</v>
      </c>
      <c r="AF68" s="27" t="n">
        <v>0.5952381</v>
      </c>
    </row>
    <row r="69" customFormat="false" ht="15" hidden="false" customHeight="false" outlineLevel="0" collapsed="false">
      <c r="A69" s="9" t="s">
        <v>322</v>
      </c>
      <c r="B69" s="27" t="n">
        <v>1</v>
      </c>
      <c r="C69" s="27" t="n">
        <v>1</v>
      </c>
      <c r="D69" s="27" t="n">
        <v>0.98333333</v>
      </c>
      <c r="E69" s="27" t="n">
        <v>0.98333333</v>
      </c>
      <c r="F69" s="27" t="n">
        <v>0.96666667</v>
      </c>
      <c r="G69" s="27" t="n">
        <v>0.96666667</v>
      </c>
      <c r="H69" s="27" t="n">
        <v>0.96666667</v>
      </c>
      <c r="I69" s="27" t="n">
        <v>0.96666667</v>
      </c>
      <c r="J69" s="27" t="n">
        <v>0.93333333</v>
      </c>
      <c r="K69" s="27" t="n">
        <v>0.91666667</v>
      </c>
      <c r="L69" s="27" t="n">
        <v>0.91666667</v>
      </c>
      <c r="M69" s="27" t="n">
        <v>0.9</v>
      </c>
      <c r="N69" s="27" t="n">
        <v>0.88333333</v>
      </c>
      <c r="O69" s="27" t="n">
        <v>0.88333333</v>
      </c>
      <c r="P69" s="27" t="n">
        <v>0.88333333</v>
      </c>
      <c r="Q69" s="27" t="n">
        <v>0.85</v>
      </c>
      <c r="R69" s="27" t="n">
        <v>0.85</v>
      </c>
      <c r="S69" s="27" t="n">
        <v>0.85</v>
      </c>
      <c r="T69" s="27" t="n">
        <v>0.85</v>
      </c>
      <c r="U69" s="27" t="n">
        <v>0.85</v>
      </c>
      <c r="V69" s="27" t="n">
        <v>0.83333333</v>
      </c>
      <c r="W69" s="27" t="n">
        <v>0.81666667</v>
      </c>
      <c r="X69" s="27" t="n">
        <v>0.8</v>
      </c>
      <c r="Y69" s="27" t="n">
        <v>0.76666667</v>
      </c>
      <c r="Z69" s="27" t="n">
        <v>0.75</v>
      </c>
      <c r="AA69" s="27" t="n">
        <v>0.75</v>
      </c>
      <c r="AB69" s="27" t="n">
        <v>0.73333333</v>
      </c>
      <c r="AC69" s="27" t="n">
        <v>0.73333333</v>
      </c>
    </row>
    <row r="70" customFormat="false" ht="15" hidden="false" customHeight="false" outlineLevel="0" collapsed="false">
      <c r="A70" s="9" t="s">
        <v>323</v>
      </c>
      <c r="B70" s="27" t="n">
        <v>1</v>
      </c>
      <c r="C70" s="27" t="n">
        <v>1</v>
      </c>
      <c r="D70" s="27" t="n">
        <v>1</v>
      </c>
      <c r="E70" s="27" t="n">
        <v>1</v>
      </c>
      <c r="F70" s="27" t="n">
        <v>0.98780488</v>
      </c>
      <c r="G70" s="27" t="n">
        <v>0.98780488</v>
      </c>
      <c r="H70" s="27" t="n">
        <v>0.98780488</v>
      </c>
      <c r="I70" s="27" t="n">
        <v>0.96341463</v>
      </c>
      <c r="J70" s="27" t="n">
        <v>0.95121951</v>
      </c>
      <c r="K70" s="27" t="n">
        <v>0.90243902</v>
      </c>
      <c r="L70" s="27" t="n">
        <v>0.87804878</v>
      </c>
      <c r="M70" s="27" t="n">
        <v>0.85365854</v>
      </c>
      <c r="N70" s="27" t="n">
        <v>0.84146341</v>
      </c>
      <c r="O70" s="27" t="n">
        <v>0.84146341</v>
      </c>
      <c r="P70" s="27" t="n">
        <v>0.81707317</v>
      </c>
      <c r="Q70" s="27" t="n">
        <v>0.80487805</v>
      </c>
      <c r="R70" s="27" t="n">
        <v>0.7804878</v>
      </c>
      <c r="S70" s="27" t="n">
        <v>0.76829268</v>
      </c>
      <c r="T70" s="27" t="n">
        <v>0.76829268</v>
      </c>
      <c r="U70" s="27" t="n">
        <v>0.75609756</v>
      </c>
      <c r="V70" s="27" t="n">
        <v>0.75609756</v>
      </c>
      <c r="W70" s="27" t="n">
        <v>0.75609756</v>
      </c>
      <c r="X70" s="27" t="n">
        <v>0.74390244</v>
      </c>
      <c r="Y70" s="27" t="n">
        <v>0.7195122</v>
      </c>
      <c r="Z70" s="27" t="n">
        <v>0.69512195</v>
      </c>
    </row>
    <row r="71" customFormat="false" ht="15" hidden="false" customHeight="false" outlineLevel="0" collapsed="false">
      <c r="A71" s="9" t="s">
        <v>324</v>
      </c>
      <c r="B71" s="27" t="n">
        <v>1</v>
      </c>
      <c r="C71" s="27" t="n">
        <v>1</v>
      </c>
      <c r="D71" s="27" t="n">
        <v>0.98666667</v>
      </c>
      <c r="E71" s="27" t="n">
        <v>0.98666667</v>
      </c>
      <c r="F71" s="27" t="n">
        <v>0.93333333</v>
      </c>
      <c r="G71" s="27" t="n">
        <v>0.93333333</v>
      </c>
      <c r="H71" s="27" t="n">
        <v>0.93333333</v>
      </c>
      <c r="I71" s="27" t="n">
        <v>0.89333333</v>
      </c>
      <c r="J71" s="27" t="n">
        <v>0.82666667</v>
      </c>
      <c r="K71" s="27" t="n">
        <v>0.8</v>
      </c>
      <c r="L71" s="27" t="n">
        <v>0.78666667</v>
      </c>
      <c r="M71" s="27" t="n">
        <v>0.78666667</v>
      </c>
      <c r="N71" s="27" t="n">
        <v>0.78666667</v>
      </c>
      <c r="O71" s="27" t="n">
        <v>0.77333333</v>
      </c>
      <c r="P71" s="27" t="n">
        <v>0.77333333</v>
      </c>
      <c r="Q71" s="27" t="n">
        <v>0.74666667</v>
      </c>
      <c r="R71" s="27" t="n">
        <v>0.73333333</v>
      </c>
      <c r="S71" s="27" t="n">
        <v>0.73333333</v>
      </c>
      <c r="T71" s="27" t="n">
        <v>0.72</v>
      </c>
      <c r="U71" s="27" t="n">
        <v>0.72</v>
      </c>
      <c r="V71" s="27" t="n">
        <v>0.68</v>
      </c>
      <c r="W71" s="27" t="n">
        <v>0.66666667</v>
      </c>
    </row>
    <row r="72" customFormat="false" ht="15" hidden="false" customHeight="false" outlineLevel="0" collapsed="false">
      <c r="A72" s="9" t="s">
        <v>325</v>
      </c>
      <c r="B72" s="27" t="n">
        <v>1</v>
      </c>
      <c r="C72" s="27" t="n">
        <v>0.98876404</v>
      </c>
      <c r="D72" s="27" t="n">
        <v>0.97752809</v>
      </c>
      <c r="E72" s="27" t="n">
        <v>0.96629213</v>
      </c>
      <c r="F72" s="27" t="n">
        <v>0.93258427</v>
      </c>
      <c r="G72" s="27" t="n">
        <v>0.88764045</v>
      </c>
      <c r="H72" s="27" t="n">
        <v>0.87640449</v>
      </c>
      <c r="I72" s="27" t="n">
        <v>0.84269663</v>
      </c>
      <c r="J72" s="27" t="n">
        <v>0.80898876</v>
      </c>
      <c r="K72" s="27" t="n">
        <v>0.76404494</v>
      </c>
      <c r="L72" s="27" t="n">
        <v>0.75280899</v>
      </c>
      <c r="M72" s="27" t="n">
        <v>0.75280899</v>
      </c>
      <c r="N72" s="27" t="n">
        <v>0.73033708</v>
      </c>
      <c r="O72" s="27" t="n">
        <v>0.70786517</v>
      </c>
      <c r="P72" s="27" t="n">
        <v>0.6741573</v>
      </c>
      <c r="Q72" s="27" t="n">
        <v>0.6741573</v>
      </c>
      <c r="R72" s="27" t="n">
        <v>0.66292135</v>
      </c>
      <c r="S72" s="27" t="n">
        <v>0.65168539</v>
      </c>
      <c r="T72" s="27" t="n">
        <v>0.64044944</v>
      </c>
    </row>
    <row r="73" customFormat="false" ht="15" hidden="false" customHeight="false" outlineLevel="0" collapsed="false">
      <c r="A73" s="9" t="s">
        <v>326</v>
      </c>
      <c r="B73" s="27" t="n">
        <v>1</v>
      </c>
      <c r="C73" s="27" t="n">
        <v>1</v>
      </c>
      <c r="D73" s="27" t="n">
        <v>0.98461538</v>
      </c>
      <c r="E73" s="27" t="n">
        <v>0.98461538</v>
      </c>
      <c r="F73" s="27" t="n">
        <v>0.98461538</v>
      </c>
      <c r="G73" s="27" t="n">
        <v>0.98461538</v>
      </c>
      <c r="H73" s="27" t="n">
        <v>0.95384615</v>
      </c>
      <c r="I73" s="27" t="n">
        <v>0.93846154</v>
      </c>
      <c r="J73" s="27" t="n">
        <v>0.86153846</v>
      </c>
      <c r="K73" s="27" t="n">
        <v>0.83076923</v>
      </c>
      <c r="L73" s="27" t="n">
        <v>0.8</v>
      </c>
      <c r="M73" s="27" t="n">
        <v>0.78461538</v>
      </c>
      <c r="N73" s="27" t="n">
        <v>0.76923077</v>
      </c>
      <c r="O73" s="27" t="n">
        <v>0.76923077</v>
      </c>
      <c r="P73" s="27" t="n">
        <v>0.72307692</v>
      </c>
      <c r="Q73" s="27" t="n">
        <v>0.70769231</v>
      </c>
    </row>
    <row r="74" customFormat="false" ht="15" hidden="false" customHeight="false" outlineLevel="0" collapsed="false">
      <c r="A74" s="9" t="s">
        <v>327</v>
      </c>
      <c r="B74" s="27" t="n">
        <v>1</v>
      </c>
      <c r="C74" s="27" t="n">
        <v>0.97297297</v>
      </c>
      <c r="D74" s="27" t="n">
        <v>0.95945946</v>
      </c>
      <c r="E74" s="27" t="n">
        <v>0.93243243</v>
      </c>
      <c r="F74" s="27" t="n">
        <v>0.93243243</v>
      </c>
      <c r="G74" s="27" t="n">
        <v>0.86486486</v>
      </c>
      <c r="H74" s="27" t="n">
        <v>0.85135135</v>
      </c>
      <c r="I74" s="27" t="n">
        <v>0.81081081</v>
      </c>
      <c r="J74" s="27" t="n">
        <v>0.7972973</v>
      </c>
      <c r="K74" s="27" t="n">
        <v>0.77027027</v>
      </c>
      <c r="L74" s="27" t="n">
        <v>0.77027027</v>
      </c>
      <c r="M74" s="27" t="n">
        <v>0.72972973</v>
      </c>
      <c r="N74" s="27" t="n">
        <v>0.7027027</v>
      </c>
    </row>
    <row r="75" customFormat="false" ht="15" hidden="false" customHeight="false" outlineLevel="0" collapsed="false">
      <c r="A75" s="9" t="s">
        <v>328</v>
      </c>
      <c r="B75" s="27" t="n">
        <v>1</v>
      </c>
      <c r="C75" s="27" t="n">
        <v>0.97826087</v>
      </c>
      <c r="D75" s="27" t="n">
        <v>0.95652174</v>
      </c>
      <c r="E75" s="27" t="n">
        <v>0.94565217</v>
      </c>
      <c r="F75" s="27" t="n">
        <v>0.90217391</v>
      </c>
      <c r="G75" s="27" t="n">
        <v>0.89130435</v>
      </c>
      <c r="H75" s="27" t="n">
        <v>0.86956522</v>
      </c>
      <c r="I75" s="27" t="n">
        <v>0.85869565</v>
      </c>
      <c r="J75" s="27" t="n">
        <v>0.84782609</v>
      </c>
      <c r="K75" s="27" t="n">
        <v>0.83695652</v>
      </c>
    </row>
    <row r="76" customFormat="false" ht="15" hidden="false" customHeight="false" outlineLevel="0" collapsed="false">
      <c r="A76" s="9" t="s">
        <v>329</v>
      </c>
      <c r="B76" s="27" t="n">
        <v>1</v>
      </c>
      <c r="C76" s="27" t="n">
        <v>1</v>
      </c>
      <c r="D76" s="27" t="n">
        <v>0.98214286</v>
      </c>
      <c r="E76" s="27" t="n">
        <v>0.96428571</v>
      </c>
      <c r="F76" s="27" t="n">
        <v>0.92857143</v>
      </c>
      <c r="G76" s="27" t="n">
        <v>0.85714286</v>
      </c>
      <c r="H76" s="27" t="n">
        <v>0.83928571</v>
      </c>
    </row>
    <row r="77" customFormat="false" ht="15" hidden="false" customHeight="false" outlineLevel="0" collapsed="false">
      <c r="A77" s="9" t="s">
        <v>330</v>
      </c>
      <c r="B77" s="27" t="n">
        <v>1</v>
      </c>
      <c r="C77" s="27" t="n">
        <v>0.98947368</v>
      </c>
      <c r="D77" s="27" t="n">
        <v>0.96842105</v>
      </c>
      <c r="E77" s="27" t="n">
        <v>0.96842105</v>
      </c>
    </row>
    <row r="78" customFormat="false" ht="15" hidden="false" customHeight="false" outlineLevel="0" collapsed="false">
      <c r="A78" s="9" t="s">
        <v>331</v>
      </c>
      <c r="B78" s="27" t="n">
        <v>1</v>
      </c>
    </row>
  </sheetData>
  <mergeCells count="1">
    <mergeCell ref="L24:T35"/>
  </mergeCells>
  <conditionalFormatting sqref="B43:AL78">
    <cfRule type="colorScale" priority="2">
      <colorScale>
        <cfvo type="num" val="0.5"/>
        <cfvo type="num" val="1"/>
        <color rgb="FFCDE2FB"/>
        <color rgb="FF184F95"/>
      </colorScale>
    </cfRule>
  </conditionalFormatting>
  <printOptions headings="false" gridLines="false" gridLinesSet="true" horizontalCentered="fals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&amp;C&amp;A</oddHeader>
    <oddFooter>&amp;LProject Northbridge: DRAFT&amp;CPage &amp;P of &amp;N</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10"/>
    <col collapsed="false" customWidth="true" hidden="false" outlineLevel="0" max="6" min="4" style="0" width="14"/>
    <col collapsed="false" customWidth="true" hidden="false" outlineLevel="0" max="8" min="7" style="0" width="10"/>
    <col collapsed="false" customWidth="true" hidden="false" outlineLevel="0" max="10" min="9" style="0" width="12"/>
  </cols>
  <sheetData>
    <row r="1" customFormat="false" ht="15" hidden="false" customHeight="false" outlineLevel="0" collapsed="false">
      <c r="A1" s="1" t="s">
        <v>332</v>
      </c>
    </row>
    <row r="2" customFormat="false" ht="15" hidden="false" customHeight="false" outlineLevel="0" collapsed="false">
      <c r="A2" s="2" t="s">
        <v>333</v>
      </c>
    </row>
    <row r="3" customFormat="false" ht="15" hidden="false" customHeight="false" outlineLevel="0" collapsed="false">
      <c r="A3" s="2" t="s">
        <v>334</v>
      </c>
    </row>
    <row r="5" customFormat="false" ht="15" hidden="false" customHeight="false" outlineLevel="0" collapsed="false">
      <c r="A5" s="8" t="s">
        <v>335</v>
      </c>
    </row>
    <row r="6" customFormat="false" ht="30" hidden="false" customHeight="true" outlineLevel="0" collapsed="false">
      <c r="A6" s="4" t="s">
        <v>12</v>
      </c>
      <c r="B6" s="4" t="s">
        <v>114</v>
      </c>
      <c r="C6" s="4" t="s">
        <v>183</v>
      </c>
      <c r="D6" s="4" t="s">
        <v>336</v>
      </c>
      <c r="E6" s="4" t="s">
        <v>337</v>
      </c>
      <c r="F6" s="4" t="s">
        <v>338</v>
      </c>
      <c r="G6" s="4" t="s">
        <v>339</v>
      </c>
      <c r="H6" s="4" t="s">
        <v>340</v>
      </c>
      <c r="I6" s="4" t="s">
        <v>341</v>
      </c>
      <c r="J6" s="4" t="s">
        <v>342</v>
      </c>
    </row>
    <row r="7" customFormat="false" ht="15" hidden="false" customHeight="false" outlineLevel="0" collapsed="false">
      <c r="A7" s="9" t="s">
        <v>343</v>
      </c>
      <c r="B7" s="21" t="n">
        <v>2023</v>
      </c>
      <c r="C7" s="25" t="n">
        <v>1</v>
      </c>
      <c r="D7" s="11" t="n">
        <v>2417140.3</v>
      </c>
      <c r="E7" s="11" t="n">
        <v>2314808.51</v>
      </c>
      <c r="F7" s="11" t="n">
        <v>2284726.39</v>
      </c>
      <c r="G7" s="23" t="n">
        <f aca="false">E7/D7</f>
        <v>0.957664108285316</v>
      </c>
      <c r="H7" s="23" t="n">
        <f aca="false">F7/D7</f>
        <v>0.94521877360615</v>
      </c>
      <c r="I7" s="10" t="n">
        <v>1010</v>
      </c>
      <c r="J7" s="10" t="n">
        <v>920</v>
      </c>
    </row>
    <row r="8" customFormat="false" ht="15" hidden="false" customHeight="false" outlineLevel="0" collapsed="false">
      <c r="A8" s="9" t="s">
        <v>344</v>
      </c>
      <c r="B8" s="21" t="n">
        <v>2023</v>
      </c>
      <c r="C8" s="25" t="n">
        <v>1</v>
      </c>
      <c r="D8" s="11" t="n">
        <v>1711723.63</v>
      </c>
      <c r="E8" s="11" t="n">
        <v>1609391.84</v>
      </c>
      <c r="F8" s="11" t="n">
        <v>1579309.72</v>
      </c>
      <c r="G8" s="23" t="n">
        <f aca="false">E8/D8</f>
        <v>0.940217107360959</v>
      </c>
      <c r="H8" s="23" t="n">
        <f aca="false">F8/D8</f>
        <v>0.922642938568302</v>
      </c>
      <c r="I8" s="10" t="n">
        <v>1005</v>
      </c>
      <c r="J8" s="10" t="n">
        <v>915</v>
      </c>
    </row>
    <row r="9" customFormat="false" ht="15" hidden="false" customHeight="false" outlineLevel="0" collapsed="false">
      <c r="A9" s="9" t="s">
        <v>345</v>
      </c>
      <c r="B9" s="21" t="n">
        <v>2023</v>
      </c>
      <c r="C9" s="25" t="n">
        <v>1</v>
      </c>
      <c r="D9" s="11" t="n">
        <v>2417140.3</v>
      </c>
      <c r="E9" s="11" t="n">
        <v>2314808.51</v>
      </c>
      <c r="F9" s="11" t="n">
        <v>2284726.39</v>
      </c>
      <c r="G9" s="23" t="n">
        <f aca="false">E9/D9</f>
        <v>0.957664108285316</v>
      </c>
      <c r="H9" s="23" t="n">
        <f aca="false">F9/D9</f>
        <v>0.94521877360615</v>
      </c>
      <c r="I9" s="10" t="n">
        <v>1010</v>
      </c>
      <c r="J9" s="10" t="n">
        <v>920</v>
      </c>
    </row>
    <row r="10" customFormat="false" ht="15" hidden="false" customHeight="false" outlineLevel="0" collapsed="false">
      <c r="A10" s="9" t="s">
        <v>346</v>
      </c>
      <c r="B10" s="21" t="n">
        <v>2023</v>
      </c>
      <c r="C10" s="25" t="n">
        <v>1</v>
      </c>
      <c r="D10" s="11" t="n">
        <v>1711723.63</v>
      </c>
      <c r="E10" s="11" t="n">
        <v>1609391.84</v>
      </c>
      <c r="F10" s="11" t="n">
        <v>1579309.72</v>
      </c>
      <c r="G10" s="23" t="n">
        <f aca="false">E10/D10</f>
        <v>0.940217107360959</v>
      </c>
      <c r="H10" s="23" t="n">
        <f aca="false">F10/D10</f>
        <v>0.922642938568302</v>
      </c>
      <c r="I10" s="10" t="n">
        <v>1005</v>
      </c>
      <c r="J10" s="10" t="n">
        <v>915</v>
      </c>
    </row>
    <row r="11" customFormat="false" ht="15" hidden="false" customHeight="false" outlineLevel="0" collapsed="false">
      <c r="A11" s="9" t="s">
        <v>343</v>
      </c>
      <c r="B11" s="21" t="n">
        <v>2024</v>
      </c>
      <c r="C11" s="25" t="n">
        <v>1.05</v>
      </c>
      <c r="D11" s="11" t="n">
        <v>2731778.55</v>
      </c>
      <c r="E11" s="11" t="n">
        <v>2697550.7</v>
      </c>
      <c r="F11" s="11" t="n">
        <v>2538154.36</v>
      </c>
      <c r="G11" s="23" t="n">
        <f aca="false">E11/D11</f>
        <v>0.987470488777357</v>
      </c>
      <c r="H11" s="23" t="n">
        <f aca="false">F11/D11</f>
        <v>0.929121564410849</v>
      </c>
      <c r="I11" s="10" t="n">
        <v>1205</v>
      </c>
      <c r="J11" s="10" t="n">
        <v>1073</v>
      </c>
    </row>
    <row r="12" customFormat="false" ht="15" hidden="false" customHeight="false" outlineLevel="0" collapsed="false">
      <c r="A12" s="9" t="s">
        <v>344</v>
      </c>
      <c r="B12" s="21" t="n">
        <v>2024</v>
      </c>
      <c r="C12" s="25" t="n">
        <v>1.05</v>
      </c>
      <c r="D12" s="11" t="n">
        <v>2026361.88</v>
      </c>
      <c r="E12" s="11" t="n">
        <v>1975238.21</v>
      </c>
      <c r="F12" s="11" t="n">
        <v>1845279.36</v>
      </c>
      <c r="G12" s="23" t="n">
        <f aca="false">E12/D12</f>
        <v>0.974770710747875</v>
      </c>
      <c r="H12" s="23" t="n">
        <f aca="false">F12/D12</f>
        <v>0.910636633176301</v>
      </c>
      <c r="I12" s="10" t="n">
        <v>1200</v>
      </c>
      <c r="J12" s="10" t="n">
        <v>1068</v>
      </c>
    </row>
    <row r="13" customFormat="false" ht="15" hidden="false" customHeight="false" outlineLevel="0" collapsed="false">
      <c r="A13" s="9" t="s">
        <v>345</v>
      </c>
      <c r="B13" s="21" t="n">
        <v>2024</v>
      </c>
      <c r="C13" s="25" t="n">
        <v>1.05</v>
      </c>
      <c r="D13" s="11" t="n">
        <v>2731778.55</v>
      </c>
      <c r="E13" s="11" t="n">
        <v>2569095.9</v>
      </c>
      <c r="F13" s="11" t="n">
        <v>2531658.26</v>
      </c>
      <c r="G13" s="23" t="n">
        <f aca="false">E13/D13</f>
        <v>0.940448082806712</v>
      </c>
      <c r="H13" s="23" t="n">
        <f aca="false">F13/D13</f>
        <v>0.926743589812578</v>
      </c>
      <c r="I13" s="10" t="n">
        <v>1205</v>
      </c>
      <c r="J13" s="10" t="n">
        <v>1073</v>
      </c>
    </row>
    <row r="14" customFormat="false" ht="15" hidden="false" customHeight="false" outlineLevel="0" collapsed="false">
      <c r="A14" s="9" t="s">
        <v>346</v>
      </c>
      <c r="B14" s="21" t="n">
        <v>2024</v>
      </c>
      <c r="C14" s="25" t="n">
        <v>1.05</v>
      </c>
      <c r="D14" s="11" t="n">
        <v>2026361.88</v>
      </c>
      <c r="E14" s="11" t="n">
        <v>1881179.25</v>
      </c>
      <c r="F14" s="11" t="n">
        <v>1843741.6</v>
      </c>
      <c r="G14" s="23" t="n">
        <f aca="false">E14/D14</f>
        <v>0.928353059030108</v>
      </c>
      <c r="H14" s="23" t="n">
        <f aca="false">F14/D14</f>
        <v>0.90987775589225</v>
      </c>
      <c r="I14" s="10" t="n">
        <v>1200</v>
      </c>
      <c r="J14" s="10" t="n">
        <v>1068</v>
      </c>
    </row>
    <row r="15" customFormat="false" ht="15" hidden="false" customHeight="false" outlineLevel="0" collapsed="false">
      <c r="A15" s="9" t="s">
        <v>343</v>
      </c>
      <c r="B15" s="21" t="n">
        <v>2025</v>
      </c>
      <c r="C15" s="25" t="n">
        <v>1.07</v>
      </c>
      <c r="D15" s="11" t="n">
        <v>3124736.34</v>
      </c>
      <c r="E15" s="11" t="n">
        <v>2982357.02</v>
      </c>
      <c r="F15" s="11" t="n">
        <v>2773798.78</v>
      </c>
      <c r="G15" s="23" t="n">
        <f aca="false">E15/D15</f>
        <v>0.954434773207137</v>
      </c>
      <c r="H15" s="23" t="n">
        <f aca="false">F15/D15</f>
        <v>0.887690505113145</v>
      </c>
      <c r="I15" s="10" t="n">
        <v>1343</v>
      </c>
      <c r="J15" s="10" t="n">
        <v>1172</v>
      </c>
    </row>
    <row r="16" customFormat="false" ht="15" hidden="false" customHeight="false" outlineLevel="0" collapsed="false">
      <c r="A16" s="9" t="s">
        <v>344</v>
      </c>
      <c r="B16" s="21" t="n">
        <v>2025</v>
      </c>
      <c r="C16" s="25" t="n">
        <v>1.07</v>
      </c>
      <c r="D16" s="11" t="n">
        <v>2402423.85</v>
      </c>
      <c r="E16" s="11" t="n">
        <v>2337280.77</v>
      </c>
      <c r="F16" s="11" t="n">
        <v>2153773.79</v>
      </c>
      <c r="G16" s="23" t="n">
        <f aca="false">E16/D16</f>
        <v>0.972884435025901</v>
      </c>
      <c r="H16" s="23" t="n">
        <f aca="false">F16/D16</f>
        <v>0.896500336524714</v>
      </c>
      <c r="I16" s="10" t="n">
        <v>1338</v>
      </c>
      <c r="J16" s="10" t="n">
        <v>1167</v>
      </c>
    </row>
    <row r="17" customFormat="false" ht="15" hidden="false" customHeight="false" outlineLevel="0" collapsed="false">
      <c r="A17" s="9" t="s">
        <v>345</v>
      </c>
      <c r="B17" s="21" t="n">
        <v>2025</v>
      </c>
      <c r="C17" s="25" t="n">
        <v>1.07</v>
      </c>
      <c r="D17" s="11" t="n">
        <v>3124736.34</v>
      </c>
      <c r="E17" s="11" t="n">
        <v>2787249.55</v>
      </c>
      <c r="F17" s="11" t="n">
        <v>2755077.3</v>
      </c>
      <c r="G17" s="23" t="n">
        <f aca="false">E17/D17</f>
        <v>0.891995114698221</v>
      </c>
      <c r="H17" s="23" t="n">
        <f aca="false">F17/D17</f>
        <v>0.881699126013301</v>
      </c>
      <c r="I17" s="10" t="n">
        <v>1343</v>
      </c>
      <c r="J17" s="10" t="n">
        <v>1172</v>
      </c>
    </row>
    <row r="18" customFormat="false" ht="15" hidden="false" customHeight="false" outlineLevel="0" collapsed="false">
      <c r="A18" s="9" t="s">
        <v>346</v>
      </c>
      <c r="B18" s="21" t="n">
        <v>2025</v>
      </c>
      <c r="C18" s="25" t="n">
        <v>1.07</v>
      </c>
      <c r="D18" s="11" t="n">
        <v>2402423.85</v>
      </c>
      <c r="E18" s="11" t="n">
        <v>2184374.55</v>
      </c>
      <c r="F18" s="11" t="n">
        <v>2152202.31</v>
      </c>
      <c r="G18" s="23" t="n">
        <f aca="false">E18/D18</f>
        <v>0.90923778916031</v>
      </c>
      <c r="H18" s="23" t="n">
        <f aca="false">F18/D18</f>
        <v>0.895846213814436</v>
      </c>
      <c r="I18" s="10" t="n">
        <v>1338</v>
      </c>
      <c r="J18" s="10" t="n">
        <v>1167</v>
      </c>
    </row>
    <row r="20" customFormat="false" ht="15" hidden="false" customHeight="false" outlineLevel="0" collapsed="false">
      <c r="A20" s="2" t="s">
        <v>347</v>
      </c>
      <c r="B20" s="15" t="b">
        <f aca="false">ABS(D7*12-SUMIFS('4a Revenue quality'!$B$15:$B$18,'4a Revenue quality'!$A$15:$A$18,B7-1))&lt;0.01</f>
        <v>1</v>
      </c>
      <c r="C20" s="15" t="b">
        <f aca="false">ABS(D11*12-SUMIFS('4a Revenue quality'!$B$15:$B$18,'4a Revenue quality'!$A$15:$A$18,B11-1))&lt;0.01</f>
        <v>1</v>
      </c>
      <c r="D20" s="15" t="b">
        <f aca="false">ABS(D15*12-SUMIFS('4a Revenue quality'!$B$15:$B$18,'4a Revenue quality'!$A$15:$A$18,B15-1))&lt;0.01</f>
        <v>1</v>
      </c>
    </row>
    <row r="22" customFormat="false" ht="15" hidden="false" customHeight="false" outlineLevel="0" collapsed="false">
      <c r="A22" s="8" t="s">
        <v>348</v>
      </c>
    </row>
    <row r="23" customFormat="false" ht="30" hidden="false" customHeight="true" outlineLevel="0" collapsed="false">
      <c r="A23" s="4" t="s">
        <v>114</v>
      </c>
      <c r="B23" s="4" t="s">
        <v>349</v>
      </c>
      <c r="C23" s="4" t="s">
        <v>350</v>
      </c>
      <c r="D23" s="4" t="s">
        <v>351</v>
      </c>
    </row>
    <row r="24" customFormat="false" ht="15" hidden="false" customHeight="true" outlineLevel="0" collapsed="false">
      <c r="A24" s="9" t="s">
        <v>58</v>
      </c>
      <c r="B24" s="23" t="n">
        <f aca="false">SUMIFS($G$7:$G$18,$A$7:$A$18,"reported",$B$7:$B$18,2023)</f>
        <v>0.957664108285316</v>
      </c>
      <c r="C24" s="23" t="n">
        <f aca="false">SUMIFS($G$7:$G$18,$A$7:$A$18,"excluding price increase",$B$7:$B$18,2023)</f>
        <v>0.957664108285316</v>
      </c>
      <c r="D24" s="23" t="n">
        <f aca="false">SUMIFS($H$7:$H$18,$A$7:$A$18,"reported",$B$7:$B$18,2023)</f>
        <v>0.94521877360615</v>
      </c>
      <c r="L24" s="22" t="s">
        <v>352</v>
      </c>
      <c r="M24" s="22"/>
      <c r="N24" s="22"/>
      <c r="O24" s="22"/>
      <c r="P24" s="22"/>
      <c r="Q24" s="22"/>
      <c r="R24" s="22"/>
      <c r="S24" s="22"/>
      <c r="T24" s="22"/>
    </row>
    <row r="25" customFormat="false" ht="15" hidden="false" customHeight="false" outlineLevel="0" collapsed="false">
      <c r="A25" s="9" t="s">
        <v>59</v>
      </c>
      <c r="B25" s="23" t="n">
        <f aca="false">SUMIFS($G$7:$G$18,$A$7:$A$18,"reported",$B$7:$B$18,2024)</f>
        <v>0.987470488777357</v>
      </c>
      <c r="C25" s="23" t="n">
        <f aca="false">SUMIFS($G$7:$G$18,$A$7:$A$18,"excluding price increase",$B$7:$B$18,2024)</f>
        <v>0.940448082806712</v>
      </c>
      <c r="D25" s="23" t="n">
        <f aca="false">SUMIFS($H$7:$H$18,$A$7:$A$18,"reported",$B$7:$B$18,2024)</f>
        <v>0.929121564410849</v>
      </c>
      <c r="L25" s="22"/>
      <c r="M25" s="22"/>
      <c r="N25" s="22"/>
      <c r="O25" s="22"/>
      <c r="P25" s="22"/>
      <c r="Q25" s="22"/>
      <c r="R25" s="22"/>
      <c r="S25" s="22"/>
      <c r="T25" s="22"/>
    </row>
    <row r="26" customFormat="false" ht="15" hidden="false" customHeight="false" outlineLevel="0" collapsed="false">
      <c r="A26" s="9" t="s">
        <v>60</v>
      </c>
      <c r="B26" s="23" t="n">
        <f aca="false">SUMIFS($G$7:$G$18,$A$7:$A$18,"reported",$B$7:$B$18,2025)</f>
        <v>0.954434773207137</v>
      </c>
      <c r="C26" s="23" t="n">
        <f aca="false">SUMIFS($G$7:$G$18,$A$7:$A$18,"excluding price increase",$B$7:$B$18,2025)</f>
        <v>0.891995114698221</v>
      </c>
      <c r="D26" s="23" t="n">
        <f aca="false">SUMIFS($H$7:$H$18,$A$7:$A$18,"reported",$B$7:$B$18,2025)</f>
        <v>0.887690505113145</v>
      </c>
      <c r="L26" s="22"/>
      <c r="M26" s="22"/>
      <c r="N26" s="22"/>
      <c r="O26" s="22"/>
      <c r="P26" s="22"/>
      <c r="Q26" s="22"/>
      <c r="R26" s="22"/>
      <c r="S26" s="22"/>
      <c r="T26" s="22"/>
    </row>
    <row r="27" customFormat="false" ht="15" hidden="false" customHeight="false" outlineLevel="0" collapsed="false">
      <c r="L27" s="22"/>
      <c r="M27" s="22"/>
      <c r="N27" s="22"/>
      <c r="O27" s="22"/>
      <c r="P27" s="22"/>
      <c r="Q27" s="22"/>
      <c r="R27" s="22"/>
      <c r="S27" s="22"/>
      <c r="T27" s="22"/>
    </row>
    <row r="28" customFormat="false" ht="15" hidden="false" customHeight="false" outlineLevel="0" collapsed="false">
      <c r="A28" s="8" t="s">
        <v>353</v>
      </c>
      <c r="L28" s="22"/>
      <c r="M28" s="22"/>
      <c r="N28" s="22"/>
      <c r="O28" s="22"/>
      <c r="P28" s="22"/>
      <c r="Q28" s="22"/>
      <c r="R28" s="22"/>
      <c r="S28" s="22"/>
      <c r="T28" s="22"/>
    </row>
    <row r="29" customFormat="false" ht="30" hidden="false" customHeight="true" outlineLevel="0" collapsed="false">
      <c r="A29" s="4" t="s">
        <v>354</v>
      </c>
      <c r="B29" s="4" t="s">
        <v>355</v>
      </c>
      <c r="C29" s="4" t="s">
        <v>356</v>
      </c>
      <c r="D29" s="4" t="s">
        <v>357</v>
      </c>
      <c r="E29" s="4" t="s">
        <v>358</v>
      </c>
      <c r="F29" s="4" t="s">
        <v>359</v>
      </c>
      <c r="L29" s="22"/>
      <c r="M29" s="22"/>
      <c r="N29" s="22"/>
      <c r="O29" s="22"/>
      <c r="P29" s="22"/>
      <c r="Q29" s="22"/>
      <c r="R29" s="22"/>
      <c r="S29" s="22"/>
      <c r="T29" s="22"/>
    </row>
    <row r="30" customFormat="false" ht="15" hidden="false" customHeight="false" outlineLevel="0" collapsed="false">
      <c r="A30" s="9" t="s">
        <v>360</v>
      </c>
      <c r="B30" s="9" t="s">
        <v>361</v>
      </c>
      <c r="C30" s="21" t="n">
        <v>2025</v>
      </c>
      <c r="D30" s="9" t="s">
        <v>362</v>
      </c>
      <c r="E30" s="9" t="s">
        <v>339</v>
      </c>
      <c r="F30" s="28" t="n">
        <v>0.98</v>
      </c>
      <c r="L30" s="22"/>
      <c r="M30" s="22"/>
      <c r="N30" s="22"/>
      <c r="O30" s="22"/>
      <c r="P30" s="22"/>
      <c r="Q30" s="22"/>
      <c r="R30" s="22"/>
      <c r="S30" s="22"/>
      <c r="T30" s="22"/>
    </row>
    <row r="31" customFormat="false" ht="15" hidden="false" customHeight="false" outlineLevel="0" collapsed="false">
      <c r="A31" s="9" t="s">
        <v>360</v>
      </c>
      <c r="B31" s="9" t="s">
        <v>361</v>
      </c>
      <c r="C31" s="21" t="n">
        <v>2025</v>
      </c>
      <c r="D31" s="9" t="s">
        <v>363</v>
      </c>
      <c r="E31" s="9" t="s">
        <v>339</v>
      </c>
      <c r="F31" s="28" t="n">
        <v>1.03</v>
      </c>
      <c r="L31" s="22"/>
      <c r="M31" s="22"/>
      <c r="N31" s="22"/>
      <c r="O31" s="22"/>
      <c r="P31" s="22"/>
      <c r="Q31" s="22"/>
      <c r="R31" s="22"/>
      <c r="S31" s="22"/>
      <c r="T31" s="22"/>
    </row>
    <row r="32" customFormat="false" ht="15" hidden="false" customHeight="false" outlineLevel="0" collapsed="false">
      <c r="A32" s="9" t="s">
        <v>360</v>
      </c>
      <c r="B32" s="9" t="s">
        <v>361</v>
      </c>
      <c r="C32" s="21" t="n">
        <v>2025</v>
      </c>
      <c r="D32" s="9" t="s">
        <v>364</v>
      </c>
      <c r="E32" s="9" t="s">
        <v>339</v>
      </c>
      <c r="F32" s="28" t="n">
        <v>1.02</v>
      </c>
      <c r="L32" s="22"/>
      <c r="M32" s="22"/>
      <c r="N32" s="22"/>
      <c r="O32" s="22"/>
      <c r="P32" s="22"/>
      <c r="Q32" s="22"/>
      <c r="R32" s="22"/>
      <c r="S32" s="22"/>
      <c r="T32" s="22"/>
    </row>
    <row r="33" customFormat="false" ht="15" hidden="false" customHeight="false" outlineLevel="0" collapsed="false">
      <c r="A33" s="9" t="s">
        <v>365</v>
      </c>
      <c r="B33" s="9" t="s">
        <v>366</v>
      </c>
      <c r="C33" s="21" t="n">
        <v>2025</v>
      </c>
      <c r="D33" s="9" t="s">
        <v>367</v>
      </c>
      <c r="E33" s="9" t="s">
        <v>339</v>
      </c>
      <c r="F33" s="28" t="n">
        <v>0.98</v>
      </c>
      <c r="L33" s="22"/>
      <c r="M33" s="22"/>
      <c r="N33" s="22"/>
      <c r="O33" s="22"/>
      <c r="P33" s="22"/>
      <c r="Q33" s="22"/>
      <c r="R33" s="22"/>
      <c r="S33" s="22"/>
      <c r="T33" s="22"/>
    </row>
    <row r="34" customFormat="false" ht="15" hidden="false" customHeight="false" outlineLevel="0" collapsed="false">
      <c r="A34" s="9" t="s">
        <v>365</v>
      </c>
      <c r="B34" s="9" t="s">
        <v>366</v>
      </c>
      <c r="C34" s="21" t="n">
        <v>2025</v>
      </c>
      <c r="D34" s="9" t="s">
        <v>368</v>
      </c>
      <c r="E34" s="9" t="s">
        <v>339</v>
      </c>
      <c r="F34" s="28" t="n">
        <v>0.97</v>
      </c>
      <c r="L34" s="22"/>
      <c r="M34" s="22"/>
      <c r="N34" s="22"/>
      <c r="O34" s="22"/>
      <c r="P34" s="22"/>
      <c r="Q34" s="22"/>
      <c r="R34" s="22"/>
      <c r="S34" s="22"/>
      <c r="T34" s="22"/>
    </row>
    <row r="35" customFormat="false" ht="15" hidden="false" customHeight="false" outlineLevel="0" collapsed="false">
      <c r="A35" s="9" t="s">
        <v>365</v>
      </c>
      <c r="B35" s="9" t="s">
        <v>366</v>
      </c>
      <c r="C35" s="21" t="n">
        <v>2025</v>
      </c>
      <c r="D35" s="9" t="s">
        <v>369</v>
      </c>
      <c r="E35" s="9" t="s">
        <v>339</v>
      </c>
      <c r="F35" s="28" t="n">
        <v>0.94</v>
      </c>
      <c r="L35" s="22"/>
      <c r="M35" s="22"/>
      <c r="N35" s="22"/>
      <c r="O35" s="22"/>
      <c r="P35" s="22"/>
      <c r="Q35" s="22"/>
      <c r="R35" s="22"/>
      <c r="S35" s="22"/>
      <c r="T35" s="22"/>
    </row>
    <row r="36" customFormat="false" ht="15" hidden="false" customHeight="false" outlineLevel="0" collapsed="false">
      <c r="A36" s="9" t="s">
        <v>365</v>
      </c>
      <c r="B36" s="9" t="s">
        <v>366</v>
      </c>
      <c r="C36" s="21" t="n">
        <v>2025</v>
      </c>
      <c r="D36" s="9" t="s">
        <v>370</v>
      </c>
      <c r="E36" s="9" t="s">
        <v>339</v>
      </c>
      <c r="F36" s="28" t="n">
        <v>1.07</v>
      </c>
    </row>
    <row r="37" customFormat="false" ht="15" hidden="false" customHeight="false" outlineLevel="0" collapsed="false">
      <c r="A37" s="9" t="s">
        <v>365</v>
      </c>
      <c r="B37" s="9" t="s">
        <v>366</v>
      </c>
      <c r="C37" s="21" t="n">
        <v>2025</v>
      </c>
      <c r="D37" s="9" t="s">
        <v>371</v>
      </c>
      <c r="E37" s="9" t="s">
        <v>339</v>
      </c>
      <c r="F37" s="28" t="n">
        <v>1.04</v>
      </c>
    </row>
    <row r="38" customFormat="false" ht="15" hidden="false" customHeight="false" outlineLevel="0" collapsed="false">
      <c r="A38" s="9" t="s">
        <v>365</v>
      </c>
      <c r="B38" s="9" t="s">
        <v>366</v>
      </c>
      <c r="C38" s="21" t="n">
        <v>2025</v>
      </c>
      <c r="D38" s="9" t="s">
        <v>364</v>
      </c>
      <c r="E38" s="9" t="s">
        <v>339</v>
      </c>
      <c r="F38" s="28" t="n">
        <v>1.05</v>
      </c>
    </row>
    <row r="39" customFormat="false" ht="15" hidden="false" customHeight="false" outlineLevel="0" collapsed="false">
      <c r="A39" s="9" t="s">
        <v>372</v>
      </c>
      <c r="B39" s="9" t="s">
        <v>373</v>
      </c>
      <c r="C39" s="21" t="n">
        <v>2025</v>
      </c>
      <c r="D39" s="9" t="s">
        <v>367</v>
      </c>
      <c r="E39" s="9" t="s">
        <v>339</v>
      </c>
      <c r="F39" s="28" t="n">
        <v>1</v>
      </c>
    </row>
    <row r="40" customFormat="false" ht="15" hidden="false" customHeight="false" outlineLevel="0" collapsed="false">
      <c r="A40" s="9" t="s">
        <v>372</v>
      </c>
      <c r="B40" s="9" t="s">
        <v>373</v>
      </c>
      <c r="C40" s="21" t="n">
        <v>2025</v>
      </c>
      <c r="D40" s="9" t="s">
        <v>368</v>
      </c>
      <c r="E40" s="9" t="s">
        <v>339</v>
      </c>
      <c r="F40" s="28" t="n">
        <v>0.99</v>
      </c>
    </row>
    <row r="41" customFormat="false" ht="15" hidden="false" customHeight="false" outlineLevel="0" collapsed="false">
      <c r="A41" s="9" t="s">
        <v>372</v>
      </c>
      <c r="B41" s="9" t="s">
        <v>373</v>
      </c>
      <c r="C41" s="21" t="n">
        <v>2025</v>
      </c>
      <c r="D41" s="9" t="s">
        <v>369</v>
      </c>
      <c r="E41" s="9" t="s">
        <v>339</v>
      </c>
      <c r="F41" s="28" t="n">
        <v>1</v>
      </c>
    </row>
    <row r="42" customFormat="false" ht="15" hidden="false" customHeight="false" outlineLevel="0" collapsed="false">
      <c r="A42" s="9" t="s">
        <v>372</v>
      </c>
      <c r="B42" s="9" t="s">
        <v>373</v>
      </c>
      <c r="C42" s="21" t="n">
        <v>2025</v>
      </c>
      <c r="D42" s="9" t="s">
        <v>374</v>
      </c>
      <c r="E42" s="9" t="s">
        <v>339</v>
      </c>
      <c r="F42" s="28" t="n">
        <v>1.01</v>
      </c>
    </row>
    <row r="43" customFormat="false" ht="15" hidden="false" customHeight="false" outlineLevel="0" collapsed="false">
      <c r="A43" s="9" t="s">
        <v>372</v>
      </c>
      <c r="B43" s="9" t="s">
        <v>373</v>
      </c>
      <c r="C43" s="21" t="n">
        <v>2025</v>
      </c>
      <c r="D43" s="9" t="s">
        <v>364</v>
      </c>
      <c r="E43" s="9" t="s">
        <v>339</v>
      </c>
      <c r="F43" s="28" t="n">
        <v>1.05</v>
      </c>
    </row>
    <row r="44" customFormat="false" ht="15" hidden="false" customHeight="false" outlineLevel="0" collapsed="false">
      <c r="A44" s="9" t="s">
        <v>360</v>
      </c>
      <c r="B44" s="9" t="s">
        <v>361</v>
      </c>
      <c r="C44" s="21" t="n">
        <v>2025</v>
      </c>
      <c r="D44" s="9" t="s">
        <v>362</v>
      </c>
      <c r="E44" s="9" t="s">
        <v>340</v>
      </c>
      <c r="F44" s="28" t="n">
        <v>0.9</v>
      </c>
    </row>
    <row r="45" customFormat="false" ht="15" hidden="false" customHeight="false" outlineLevel="0" collapsed="false">
      <c r="A45" s="9" t="s">
        <v>360</v>
      </c>
      <c r="B45" s="9" t="s">
        <v>361</v>
      </c>
      <c r="C45" s="21" t="n">
        <v>2025</v>
      </c>
      <c r="D45" s="9" t="s">
        <v>363</v>
      </c>
      <c r="E45" s="9" t="s">
        <v>340</v>
      </c>
      <c r="F45" s="28" t="n">
        <v>0.91</v>
      </c>
    </row>
    <row r="46" customFormat="false" ht="15" hidden="false" customHeight="false" outlineLevel="0" collapsed="false">
      <c r="A46" s="9" t="s">
        <v>360</v>
      </c>
      <c r="B46" s="9" t="s">
        <v>361</v>
      </c>
      <c r="C46" s="21" t="n">
        <v>2025</v>
      </c>
      <c r="D46" s="9" t="s">
        <v>364</v>
      </c>
      <c r="E46" s="9" t="s">
        <v>340</v>
      </c>
      <c r="F46" s="28" t="n">
        <v>0.91</v>
      </c>
    </row>
    <row r="47" customFormat="false" ht="15" hidden="false" customHeight="false" outlineLevel="0" collapsed="false">
      <c r="A47" s="9" t="s">
        <v>365</v>
      </c>
      <c r="B47" s="9" t="s">
        <v>366</v>
      </c>
      <c r="C47" s="21" t="n">
        <v>2025</v>
      </c>
      <c r="D47" s="9" t="s">
        <v>367</v>
      </c>
      <c r="E47" s="9" t="s">
        <v>340</v>
      </c>
      <c r="F47" s="28" t="n">
        <v>0.83</v>
      </c>
    </row>
    <row r="48" customFormat="false" ht="15" hidden="false" customHeight="false" outlineLevel="0" collapsed="false">
      <c r="A48" s="9" t="s">
        <v>365</v>
      </c>
      <c r="B48" s="9" t="s">
        <v>366</v>
      </c>
      <c r="C48" s="21" t="n">
        <v>2025</v>
      </c>
      <c r="D48" s="9" t="s">
        <v>368</v>
      </c>
      <c r="E48" s="9" t="s">
        <v>340</v>
      </c>
      <c r="F48" s="28" t="n">
        <v>0.88</v>
      </c>
    </row>
    <row r="49" customFormat="false" ht="15" hidden="false" customHeight="false" outlineLevel="0" collapsed="false">
      <c r="A49" s="9" t="s">
        <v>365</v>
      </c>
      <c r="B49" s="9" t="s">
        <v>366</v>
      </c>
      <c r="C49" s="21" t="n">
        <v>2025</v>
      </c>
      <c r="D49" s="9" t="s">
        <v>369</v>
      </c>
      <c r="E49" s="9" t="s">
        <v>340</v>
      </c>
      <c r="F49" s="28" t="n">
        <v>0.85</v>
      </c>
    </row>
    <row r="50" customFormat="false" ht="15" hidden="false" customHeight="false" outlineLevel="0" collapsed="false">
      <c r="A50" s="9" t="s">
        <v>365</v>
      </c>
      <c r="B50" s="9" t="s">
        <v>366</v>
      </c>
      <c r="C50" s="21" t="n">
        <v>2025</v>
      </c>
      <c r="D50" s="9" t="s">
        <v>370</v>
      </c>
      <c r="E50" s="9" t="s">
        <v>340</v>
      </c>
      <c r="F50" s="28" t="n">
        <v>0.88</v>
      </c>
    </row>
    <row r="51" customFormat="false" ht="15" hidden="false" customHeight="false" outlineLevel="0" collapsed="false">
      <c r="A51" s="9" t="s">
        <v>365</v>
      </c>
      <c r="B51" s="9" t="s">
        <v>366</v>
      </c>
      <c r="C51" s="21" t="n">
        <v>2025</v>
      </c>
      <c r="D51" s="9" t="s">
        <v>371</v>
      </c>
      <c r="E51" s="9" t="s">
        <v>340</v>
      </c>
      <c r="F51" s="28" t="n">
        <v>0.88</v>
      </c>
    </row>
    <row r="52" customFormat="false" ht="15" hidden="false" customHeight="false" outlineLevel="0" collapsed="false">
      <c r="A52" s="9" t="s">
        <v>365</v>
      </c>
      <c r="B52" s="9" t="s">
        <v>366</v>
      </c>
      <c r="C52" s="21" t="n">
        <v>2025</v>
      </c>
      <c r="D52" s="9" t="s">
        <v>364</v>
      </c>
      <c r="E52" s="9" t="s">
        <v>340</v>
      </c>
      <c r="F52" s="28" t="n">
        <v>0.92</v>
      </c>
    </row>
    <row r="53" customFormat="false" ht="15" hidden="false" customHeight="false" outlineLevel="0" collapsed="false">
      <c r="A53" s="9" t="s">
        <v>372</v>
      </c>
      <c r="B53" s="9" t="s">
        <v>373</v>
      </c>
      <c r="C53" s="21" t="n">
        <v>2025</v>
      </c>
      <c r="D53" s="9" t="s">
        <v>367</v>
      </c>
      <c r="E53" s="9" t="s">
        <v>340</v>
      </c>
      <c r="F53" s="28" t="n">
        <v>0.9</v>
      </c>
    </row>
    <row r="54" customFormat="false" ht="15" hidden="false" customHeight="false" outlineLevel="0" collapsed="false">
      <c r="A54" s="9" t="s">
        <v>372</v>
      </c>
      <c r="B54" s="9" t="s">
        <v>373</v>
      </c>
      <c r="C54" s="21" t="n">
        <v>2025</v>
      </c>
      <c r="D54" s="9" t="s">
        <v>368</v>
      </c>
      <c r="E54" s="9" t="s">
        <v>340</v>
      </c>
      <c r="F54" s="28" t="n">
        <v>0.85</v>
      </c>
    </row>
    <row r="55" customFormat="false" ht="15" hidden="false" customHeight="false" outlineLevel="0" collapsed="false">
      <c r="A55" s="9" t="s">
        <v>372</v>
      </c>
      <c r="B55" s="9" t="s">
        <v>373</v>
      </c>
      <c r="C55" s="21" t="n">
        <v>2025</v>
      </c>
      <c r="D55" s="9" t="s">
        <v>369</v>
      </c>
      <c r="E55" s="9" t="s">
        <v>340</v>
      </c>
      <c r="F55" s="28" t="n">
        <v>0.85</v>
      </c>
    </row>
    <row r="56" customFormat="false" ht="15" hidden="false" customHeight="false" outlineLevel="0" collapsed="false">
      <c r="A56" s="9" t="s">
        <v>372</v>
      </c>
      <c r="B56" s="9" t="s">
        <v>373</v>
      </c>
      <c r="C56" s="21" t="n">
        <v>2025</v>
      </c>
      <c r="D56" s="9" t="s">
        <v>374</v>
      </c>
      <c r="E56" s="9" t="s">
        <v>340</v>
      </c>
      <c r="F56" s="28" t="n">
        <v>0.87</v>
      </c>
    </row>
    <row r="57" customFormat="false" ht="15" hidden="false" customHeight="false" outlineLevel="0" collapsed="false">
      <c r="A57" s="9" t="s">
        <v>372</v>
      </c>
      <c r="B57" s="9" t="s">
        <v>373</v>
      </c>
      <c r="C57" s="21" t="n">
        <v>2025</v>
      </c>
      <c r="D57" s="9" t="s">
        <v>364</v>
      </c>
      <c r="E57" s="9" t="s">
        <v>340</v>
      </c>
      <c r="F57" s="28" t="n">
        <v>0.88</v>
      </c>
    </row>
    <row r="59" customFormat="false" ht="30" hidden="false" customHeight="true" outlineLevel="0" collapsed="false">
      <c r="A59" s="4" t="s">
        <v>375</v>
      </c>
      <c r="B59" s="4" t="s">
        <v>376</v>
      </c>
      <c r="C59" s="4" t="s">
        <v>377</v>
      </c>
      <c r="D59" s="4" t="s">
        <v>378</v>
      </c>
      <c r="E59" s="4" t="s">
        <v>379</v>
      </c>
      <c r="F59" s="4" t="s">
        <v>380</v>
      </c>
      <c r="G59" s="4" t="s">
        <v>381</v>
      </c>
      <c r="H59" s="4" t="s">
        <v>382</v>
      </c>
      <c r="I59" s="4" t="s">
        <v>145</v>
      </c>
    </row>
    <row r="60" customFormat="false" ht="15" hidden="false" customHeight="false" outlineLevel="0" collapsed="false">
      <c r="A60" s="2" t="s">
        <v>339</v>
      </c>
      <c r="B60" s="23" t="n">
        <f aca="false">MIN(F30:F43)</f>
        <v>0.94</v>
      </c>
      <c r="C60" s="23" t="n">
        <f aca="false">MAX(F30:F43)</f>
        <v>1.07</v>
      </c>
      <c r="D60" s="23" t="n">
        <f aca="false">MIN(F30:F32)</f>
        <v>0.98</v>
      </c>
      <c r="E60" s="23" t="n">
        <f aca="false">MAX(F30:F32)</f>
        <v>1.03</v>
      </c>
      <c r="F60" s="23" t="n">
        <f aca="false">G15</f>
        <v>0.954434773207137</v>
      </c>
      <c r="G60" s="28" t="n">
        <v>0.94</v>
      </c>
      <c r="H60" s="28" t="n">
        <v>1.07</v>
      </c>
      <c r="I60" s="15" t="b">
        <f aca="false">AND(ABS(B60-G60)&lt;0.000001,ABS(C60-H60)&lt;0.000001)</f>
        <v>1</v>
      </c>
    </row>
    <row r="61" customFormat="false" ht="15" hidden="false" customHeight="false" outlineLevel="0" collapsed="false">
      <c r="A61" s="2" t="s">
        <v>383</v>
      </c>
      <c r="B61" s="23" t="n">
        <f aca="false">MIN(F30:F43)</f>
        <v>0.94</v>
      </c>
      <c r="C61" s="23" t="n">
        <f aca="false">MAX(F30:F43)</f>
        <v>1.07</v>
      </c>
      <c r="D61" s="23" t="n">
        <f aca="false">MIN(F30:F32)</f>
        <v>0.98</v>
      </c>
      <c r="E61" s="23" t="n">
        <f aca="false">MAX(F30:F32)</f>
        <v>1.03</v>
      </c>
      <c r="F61" s="23" t="n">
        <f aca="false">G17</f>
        <v>0.891995114698221</v>
      </c>
      <c r="G61" s="28" t="n">
        <v>0.94</v>
      </c>
      <c r="H61" s="28" t="n">
        <v>1.07</v>
      </c>
      <c r="I61" s="15" t="b">
        <f aca="false">AND(ABS(B61-G61)&lt;0.000001,ABS(C61-H61)&lt;0.000001)</f>
        <v>1</v>
      </c>
    </row>
    <row r="62" customFormat="false" ht="15" hidden="false" customHeight="false" outlineLevel="0" collapsed="false">
      <c r="A62" s="2" t="s">
        <v>340</v>
      </c>
      <c r="B62" s="23" t="n">
        <f aca="false">MIN(F44:F57)</f>
        <v>0.83</v>
      </c>
      <c r="C62" s="23" t="n">
        <f aca="false">MAX(F44:F57)</f>
        <v>0.92</v>
      </c>
      <c r="D62" s="23" t="n">
        <f aca="false">MIN(F44:F46)</f>
        <v>0.9</v>
      </c>
      <c r="E62" s="23" t="n">
        <f aca="false">MAX(F44:F46)</f>
        <v>0.91</v>
      </c>
      <c r="F62" s="23" t="n">
        <f aca="false">H15</f>
        <v>0.887690505113145</v>
      </c>
      <c r="G62" s="28" t="n">
        <v>0.83</v>
      </c>
      <c r="H62" s="28" t="n">
        <v>0.92</v>
      </c>
      <c r="I62" s="15" t="b">
        <f aca="false">AND(ABS(B62-G62)&lt;0.000001,ABS(C62-H62)&lt;0.000001)</f>
        <v>1</v>
      </c>
    </row>
    <row r="64" customFormat="false" ht="30" hidden="false" customHeight="true" outlineLevel="0" collapsed="false">
      <c r="A64" s="29" t="s">
        <v>384</v>
      </c>
      <c r="B64" s="29"/>
      <c r="C64" s="29"/>
      <c r="D64" s="29"/>
      <c r="E64" s="29"/>
      <c r="F64" s="29"/>
      <c r="G64" s="29"/>
      <c r="H64" s="29"/>
      <c r="I64" s="29"/>
    </row>
    <row r="65" customFormat="false" ht="15" hidden="false" customHeight="false" outlineLevel="0" collapsed="false">
      <c r="A65" s="29"/>
      <c r="B65" s="29"/>
      <c r="C65" s="29"/>
      <c r="D65" s="29"/>
      <c r="E65" s="29"/>
      <c r="F65" s="29"/>
      <c r="G65" s="29"/>
      <c r="H65" s="29"/>
      <c r="I65" s="29"/>
    </row>
    <row r="66" customFormat="false" ht="15" hidden="false" customHeight="false" outlineLevel="0" collapsed="false">
      <c r="A66" s="29"/>
      <c r="B66" s="29"/>
      <c r="C66" s="29"/>
      <c r="D66" s="29"/>
      <c r="E66" s="29"/>
      <c r="F66" s="29"/>
      <c r="G66" s="29"/>
      <c r="H66" s="29"/>
      <c r="I66" s="29"/>
    </row>
  </sheetData>
  <mergeCells count="2">
    <mergeCell ref="L24:T35"/>
    <mergeCell ref="A64:I66"/>
  </mergeCells>
  <printOptions headings="false" gridLines="false" gridLinesSet="true" horizontalCentered="fals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&amp;C&amp;A</oddHeader>
    <oddFooter>&amp;LProject Northbridge: DRAFT&amp;CPage &amp;P of &amp;N</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5" min="2" style="0" width="14"/>
    <col collapsed="false" customWidth="true" hidden="false" outlineLevel="0" max="9" min="6" style="0" width="12"/>
  </cols>
  <sheetData>
    <row r="1" customFormat="false" ht="15" hidden="false" customHeight="false" outlineLevel="0" collapsed="false">
      <c r="A1" s="1" t="s">
        <v>385</v>
      </c>
    </row>
    <row r="2" customFormat="false" ht="15" hidden="false" customHeight="false" outlineLevel="0" collapsed="false">
      <c r="A2" s="2" t="s">
        <v>386</v>
      </c>
    </row>
    <row r="3" customFormat="false" ht="15" hidden="false" customHeight="false" outlineLevel="0" collapsed="false">
      <c r="A3" s="2" t="s">
        <v>387</v>
      </c>
    </row>
    <row r="5" customFormat="false" ht="15" hidden="false" customHeight="false" outlineLevel="0" collapsed="false">
      <c r="A5" s="8" t="s">
        <v>388</v>
      </c>
    </row>
    <row r="6" customFormat="false" ht="30" hidden="false" customHeight="true" outlineLevel="0" collapsed="false">
      <c r="A6" s="4" t="s">
        <v>147</v>
      </c>
      <c r="B6" s="4" t="s">
        <v>58</v>
      </c>
      <c r="C6" s="4" t="s">
        <v>59</v>
      </c>
      <c r="D6" s="4" t="s">
        <v>60</v>
      </c>
    </row>
    <row r="7" customFormat="false" ht="15" hidden="false" customHeight="false" outlineLevel="0" collapsed="false">
      <c r="A7" s="2" t="s">
        <v>389</v>
      </c>
      <c r="B7" s="11" t="n">
        <v>29005683.6</v>
      </c>
      <c r="C7" s="12" t="n">
        <f aca="false">B15</f>
        <v>32781342.6</v>
      </c>
      <c r="D7" s="12" t="n">
        <f aca="false">C15</f>
        <v>37496836.08</v>
      </c>
    </row>
    <row r="8" customFormat="false" ht="15" hidden="false" customHeight="false" outlineLevel="0" collapsed="false">
      <c r="A8" s="2" t="s">
        <v>390</v>
      </c>
      <c r="B8" s="11" t="n">
        <v>5003640.48</v>
      </c>
      <c r="C8" s="11" t="n">
        <v>5126227.68</v>
      </c>
      <c r="D8" s="11" t="n">
        <v>5571543.6</v>
      </c>
    </row>
    <row r="9" customFormat="false" ht="15" hidden="false" customHeight="false" outlineLevel="0" collapsed="false">
      <c r="A9" s="2" t="s">
        <v>391</v>
      </c>
      <c r="B9" s="11" t="n">
        <v>360985.44</v>
      </c>
      <c r="C9" s="11" t="n">
        <v>471697.92</v>
      </c>
      <c r="D9" s="11" t="n">
        <v>413062.32</v>
      </c>
    </row>
    <row r="10" customFormat="false" ht="15" hidden="false" customHeight="false" outlineLevel="0" collapsed="false">
      <c r="A10" s="2" t="s">
        <v>392</v>
      </c>
      <c r="B10" s="11" t="n">
        <v>0</v>
      </c>
      <c r="C10" s="11" t="n">
        <v>0</v>
      </c>
      <c r="D10" s="11" t="n">
        <v>0</v>
      </c>
    </row>
    <row r="11" customFormat="false" ht="15" hidden="false" customHeight="false" outlineLevel="0" collapsed="false">
      <c r="A11" s="2" t="s">
        <v>393</v>
      </c>
      <c r="B11" s="11" t="n">
        <v>0</v>
      </c>
      <c r="C11" s="11" t="n">
        <v>1518997.08</v>
      </c>
      <c r="D11" s="11" t="n">
        <v>2314269.24</v>
      </c>
    </row>
    <row r="12" customFormat="false" ht="15" hidden="false" customHeight="false" outlineLevel="0" collapsed="false">
      <c r="A12" s="2" t="s">
        <v>394</v>
      </c>
      <c r="B12" s="11" t="n">
        <v>-79064.4</v>
      </c>
      <c r="C12" s="11" t="n">
        <v>-314614.2</v>
      </c>
      <c r="D12" s="11" t="n">
        <v>-1529874.12</v>
      </c>
    </row>
    <row r="13" customFormat="false" ht="15" hidden="false" customHeight="false" outlineLevel="0" collapsed="false">
      <c r="A13" s="2" t="s">
        <v>395</v>
      </c>
      <c r="B13" s="11" t="n">
        <v>0</v>
      </c>
      <c r="C13" s="11" t="n">
        <v>0</v>
      </c>
      <c r="D13" s="11" t="n">
        <v>0</v>
      </c>
    </row>
    <row r="14" customFormat="false" ht="15" hidden="false" customHeight="false" outlineLevel="0" collapsed="false">
      <c r="A14" s="2" t="s">
        <v>396</v>
      </c>
      <c r="B14" s="11" t="n">
        <v>-1509902.52</v>
      </c>
      <c r="C14" s="11" t="n">
        <v>-2086815</v>
      </c>
      <c r="D14" s="11" t="n">
        <v>-2906009.28</v>
      </c>
    </row>
    <row r="15" customFormat="false" ht="15" hidden="false" customHeight="false" outlineLevel="0" collapsed="false">
      <c r="A15" s="1" t="s">
        <v>397</v>
      </c>
      <c r="B15" s="14" t="n">
        <f aca="false">SUM(B7:B14)</f>
        <v>32781342.6</v>
      </c>
      <c r="C15" s="14" t="n">
        <f aca="false">SUM(C7:C14)</f>
        <v>37496836.08</v>
      </c>
      <c r="D15" s="14" t="n">
        <f aca="false">SUM(D7:D14)</f>
        <v>41359827.84</v>
      </c>
    </row>
    <row r="16" customFormat="false" ht="15" hidden="false" customHeight="false" outlineLevel="0" collapsed="false">
      <c r="A16" s="2" t="s">
        <v>398</v>
      </c>
      <c r="B16" s="12" t="n">
        <f aca="false">SUMIFS('4a Revenue quality'!$B$15:$B$18,'4a Revenue quality'!$A$15:$A$18,2023)</f>
        <v>32781342.6</v>
      </c>
      <c r="C16" s="12" t="n">
        <f aca="false">SUMIFS('4a Revenue quality'!$B$15:$B$18,'4a Revenue quality'!$A$15:$A$18,2024)</f>
        <v>37496836.08</v>
      </c>
      <c r="D16" s="12" t="n">
        <f aca="false">SUMIFS('4a Revenue quality'!$B$15:$B$18,'4a Revenue quality'!$A$15:$A$18,2025)</f>
        <v>41359827.84</v>
      </c>
    </row>
    <row r="17" customFormat="false" ht="15" hidden="false" customHeight="false" outlineLevel="0" collapsed="false">
      <c r="A17" s="2" t="s">
        <v>145</v>
      </c>
      <c r="B17" s="15" t="b">
        <f aca="false">AND(ABS(B15-B16)&lt;0.01,ABS(B7-SUMIFS('4a Revenue quality'!$B$15:$B$18,'4a Revenue quality'!$A$15:$A$18,2022))&lt;0.01)</f>
        <v>1</v>
      </c>
      <c r="C17" s="15" t="b">
        <f aca="false">AND(ABS(C15-C16)&lt;0.01,ABS(C7-SUMIFS('4a Revenue quality'!$B$15:$B$18,'4a Revenue quality'!$A$15:$A$18,2023))&lt;0.01)</f>
        <v>1</v>
      </c>
      <c r="D17" s="15" t="b">
        <f aca="false">AND(ABS(D15-D16)&lt;0.01,ABS(D7-SUMIFS('4a Revenue quality'!$B$15:$B$18,'4a Revenue quality'!$A$15:$A$18,2024))&lt;0.01)</f>
        <v>1</v>
      </c>
    </row>
    <row r="19" customFormat="false" ht="15" hidden="false" customHeight="false" outlineLevel="0" collapsed="false">
      <c r="A19" s="8" t="s">
        <v>399</v>
      </c>
    </row>
    <row r="20" customFormat="false" ht="30" hidden="false" customHeight="true" outlineLevel="0" collapsed="false">
      <c r="A20" s="4" t="s">
        <v>400</v>
      </c>
      <c r="B20" s="4" t="s">
        <v>401</v>
      </c>
      <c r="C20" s="4" t="s">
        <v>402</v>
      </c>
      <c r="D20" s="4" t="s">
        <v>403</v>
      </c>
      <c r="E20" s="4" t="s">
        <v>61</v>
      </c>
    </row>
    <row r="21" customFormat="false" ht="15" hidden="false" customHeight="false" outlineLevel="0" collapsed="false">
      <c r="A21" s="2" t="s">
        <v>389</v>
      </c>
      <c r="B21" s="12" t="n">
        <f aca="false">0</f>
        <v>0</v>
      </c>
      <c r="C21" s="12" t="n">
        <f aca="false">0</f>
        <v>0</v>
      </c>
      <c r="D21" s="12" t="n">
        <f aca="false">0</f>
        <v>0</v>
      </c>
      <c r="E21" s="12" t="n">
        <f aca="false">D7</f>
        <v>37496836.08</v>
      </c>
    </row>
    <row r="22" customFormat="false" ht="15" hidden="false" customHeight="false" outlineLevel="0" collapsed="false">
      <c r="A22" s="2" t="s">
        <v>390</v>
      </c>
      <c r="B22" s="12" t="n">
        <f aca="false">MIN(SUM($D$7:D7),SUM($D$7:D7)+D8)</f>
        <v>37496836.08</v>
      </c>
      <c r="C22" s="12" t="n">
        <f aca="false">MAX(D8,0)</f>
        <v>5571543.6</v>
      </c>
      <c r="D22" s="12" t="n">
        <f aca="false">MAX(-D8,0)</f>
        <v>0</v>
      </c>
      <c r="E22" s="12" t="n">
        <f aca="false">0</f>
        <v>0</v>
      </c>
    </row>
    <row r="23" customFormat="false" ht="15" hidden="false" customHeight="false" outlineLevel="0" collapsed="false">
      <c r="A23" s="2" t="s">
        <v>391</v>
      </c>
      <c r="B23" s="12" t="n">
        <f aca="false">MIN(SUM($D$7:D8),SUM($D$7:D8)+D9)</f>
        <v>43068379.68</v>
      </c>
      <c r="C23" s="12" t="n">
        <f aca="false">MAX(D9,0)</f>
        <v>413062.32</v>
      </c>
      <c r="D23" s="12" t="n">
        <f aca="false">MAX(-D9,0)</f>
        <v>0</v>
      </c>
      <c r="E23" s="12" t="n">
        <f aca="false">0</f>
        <v>0</v>
      </c>
    </row>
    <row r="24" customFormat="false" ht="15" hidden="false" customHeight="false" outlineLevel="0" collapsed="false">
      <c r="A24" s="2" t="s">
        <v>392</v>
      </c>
      <c r="B24" s="12" t="n">
        <f aca="false">MIN(SUM($D$7:D9),SUM($D$7:D9)+D10)</f>
        <v>43481442</v>
      </c>
      <c r="C24" s="12" t="n">
        <f aca="false">MAX(D10,0)</f>
        <v>0</v>
      </c>
      <c r="D24" s="12" t="n">
        <f aca="false">MAX(-D10,0)</f>
        <v>0</v>
      </c>
      <c r="E24" s="12" t="n">
        <f aca="false">0</f>
        <v>0</v>
      </c>
    </row>
    <row r="25" customFormat="false" ht="15" hidden="false" customHeight="false" outlineLevel="0" collapsed="false">
      <c r="A25" s="2" t="s">
        <v>393</v>
      </c>
      <c r="B25" s="12" t="n">
        <f aca="false">MIN(SUM($D$7:D10),SUM($D$7:D10)+D11)</f>
        <v>43481442</v>
      </c>
      <c r="C25" s="12" t="n">
        <f aca="false">MAX(D11,0)</f>
        <v>2314269.24</v>
      </c>
      <c r="D25" s="12" t="n">
        <f aca="false">MAX(-D11,0)</f>
        <v>0</v>
      </c>
      <c r="E25" s="12" t="n">
        <f aca="false">0</f>
        <v>0</v>
      </c>
    </row>
    <row r="26" customFormat="false" ht="15" hidden="false" customHeight="true" outlineLevel="0" collapsed="false">
      <c r="A26" s="2" t="s">
        <v>394</v>
      </c>
      <c r="B26" s="12" t="n">
        <f aca="false">MIN(SUM($D$7:D11),SUM($D$7:D11)+D12)</f>
        <v>44265837.12</v>
      </c>
      <c r="C26" s="12" t="n">
        <f aca="false">MAX(D12,0)</f>
        <v>0</v>
      </c>
      <c r="D26" s="12" t="n">
        <f aca="false">MAX(-D12,0)</f>
        <v>1529874.12</v>
      </c>
      <c r="E26" s="12" t="n">
        <f aca="false">0</f>
        <v>0</v>
      </c>
      <c r="J26" s="22" t="s">
        <v>404</v>
      </c>
      <c r="K26" s="22"/>
      <c r="L26" s="22"/>
      <c r="M26" s="22"/>
      <c r="N26" s="22"/>
      <c r="O26" s="22"/>
      <c r="P26" s="22"/>
      <c r="Q26" s="22"/>
      <c r="R26" s="22"/>
      <c r="S26" s="22"/>
    </row>
    <row r="27" customFormat="false" ht="15" hidden="false" customHeight="false" outlineLevel="0" collapsed="false">
      <c r="A27" s="2" t="s">
        <v>395</v>
      </c>
      <c r="B27" s="12" t="n">
        <f aca="false">MIN(SUM($D$7:D12),SUM($D$7:D12)+D13)</f>
        <v>44265837.12</v>
      </c>
      <c r="C27" s="12" t="n">
        <f aca="false">MAX(D13,0)</f>
        <v>0</v>
      </c>
      <c r="D27" s="12" t="n">
        <f aca="false">MAX(-D13,0)</f>
        <v>0</v>
      </c>
      <c r="E27" s="12" t="n">
        <f aca="false">0</f>
        <v>0</v>
      </c>
      <c r="J27" s="22"/>
      <c r="K27" s="22"/>
      <c r="L27" s="22"/>
      <c r="M27" s="22"/>
      <c r="N27" s="22"/>
      <c r="O27" s="22"/>
      <c r="P27" s="22"/>
      <c r="Q27" s="22"/>
      <c r="R27" s="22"/>
      <c r="S27" s="22"/>
    </row>
    <row r="28" customFormat="false" ht="15" hidden="false" customHeight="false" outlineLevel="0" collapsed="false">
      <c r="A28" s="2" t="s">
        <v>396</v>
      </c>
      <c r="B28" s="12" t="n">
        <f aca="false">MIN(SUM($D$7:D13),SUM($D$7:D13)+D14)</f>
        <v>41359827.84</v>
      </c>
      <c r="C28" s="12" t="n">
        <f aca="false">MAX(D14,0)</f>
        <v>0</v>
      </c>
      <c r="D28" s="12" t="n">
        <f aca="false">MAX(-D14,0)</f>
        <v>2906009.28</v>
      </c>
      <c r="E28" s="12" t="n">
        <f aca="false">0</f>
        <v>0</v>
      </c>
      <c r="J28" s="22"/>
      <c r="K28" s="22"/>
      <c r="L28" s="22"/>
      <c r="M28" s="22"/>
      <c r="N28" s="22"/>
      <c r="O28" s="22"/>
      <c r="P28" s="22"/>
      <c r="Q28" s="22"/>
      <c r="R28" s="22"/>
      <c r="S28" s="22"/>
    </row>
    <row r="29" customFormat="false" ht="15" hidden="false" customHeight="false" outlineLevel="0" collapsed="false">
      <c r="A29" s="2" t="s">
        <v>397</v>
      </c>
      <c r="B29" s="12" t="n">
        <f aca="false">0</f>
        <v>0</v>
      </c>
      <c r="C29" s="12" t="n">
        <f aca="false">0</f>
        <v>0</v>
      </c>
      <c r="D29" s="12" t="n">
        <f aca="false">0</f>
        <v>0</v>
      </c>
      <c r="E29" s="12" t="n">
        <f aca="false">D15</f>
        <v>41359827.84</v>
      </c>
      <c r="J29" s="22"/>
      <c r="K29" s="22"/>
      <c r="L29" s="22"/>
      <c r="M29" s="22"/>
      <c r="N29" s="22"/>
      <c r="O29" s="22"/>
      <c r="P29" s="22"/>
      <c r="Q29" s="22"/>
      <c r="R29" s="22"/>
      <c r="S29" s="22"/>
    </row>
    <row r="30" customFormat="false" ht="15" hidden="false" customHeight="false" outlineLevel="0" collapsed="false">
      <c r="J30" s="22"/>
      <c r="K30" s="22"/>
      <c r="L30" s="22"/>
      <c r="M30" s="22"/>
      <c r="N30" s="22"/>
      <c r="O30" s="22"/>
      <c r="P30" s="22"/>
      <c r="Q30" s="22"/>
      <c r="R30" s="22"/>
      <c r="S30" s="22"/>
    </row>
    <row r="31" customFormat="false" ht="15" hidden="false" customHeight="false" outlineLevel="0" collapsed="false">
      <c r="J31" s="22"/>
      <c r="K31" s="22"/>
      <c r="L31" s="22"/>
      <c r="M31" s="22"/>
      <c r="N31" s="22"/>
      <c r="O31" s="22"/>
      <c r="P31" s="22"/>
      <c r="Q31" s="22"/>
      <c r="R31" s="22"/>
      <c r="S31" s="22"/>
    </row>
    <row r="32" customFormat="false" ht="15" hidden="false" customHeight="false" outlineLevel="0" collapsed="false">
      <c r="A32" s="8" t="s">
        <v>405</v>
      </c>
      <c r="J32" s="22"/>
      <c r="K32" s="22"/>
      <c r="L32" s="22"/>
      <c r="M32" s="22"/>
      <c r="N32" s="22"/>
      <c r="O32" s="22"/>
      <c r="P32" s="22"/>
      <c r="Q32" s="22"/>
      <c r="R32" s="22"/>
      <c r="S32" s="22"/>
    </row>
    <row r="33" customFormat="false" ht="30" hidden="false" customHeight="true" outlineLevel="0" collapsed="false">
      <c r="A33" s="4" t="s">
        <v>147</v>
      </c>
      <c r="B33" s="4" t="s">
        <v>58</v>
      </c>
      <c r="C33" s="4" t="s">
        <v>59</v>
      </c>
      <c r="D33" s="4" t="s">
        <v>60</v>
      </c>
      <c r="J33" s="22"/>
      <c r="K33" s="22"/>
      <c r="L33" s="22"/>
      <c r="M33" s="22"/>
      <c r="N33" s="22"/>
      <c r="O33" s="22"/>
      <c r="P33" s="22"/>
      <c r="Q33" s="22"/>
      <c r="R33" s="22"/>
      <c r="S33" s="22"/>
    </row>
    <row r="34" customFormat="false" ht="15" hidden="false" customHeight="false" outlineLevel="0" collapsed="false">
      <c r="A34" s="2" t="s">
        <v>406</v>
      </c>
      <c r="B34" s="11" t="n">
        <v>28232151.64</v>
      </c>
      <c r="C34" s="11" t="n">
        <v>32192869.95</v>
      </c>
      <c r="D34" s="11" t="n">
        <v>37258898.51</v>
      </c>
      <c r="J34" s="22"/>
      <c r="K34" s="22"/>
      <c r="L34" s="22"/>
      <c r="M34" s="22"/>
      <c r="N34" s="22"/>
      <c r="O34" s="22"/>
      <c r="P34" s="22"/>
      <c r="Q34" s="22"/>
      <c r="R34" s="22"/>
      <c r="S34" s="22"/>
    </row>
    <row r="35" customFormat="false" ht="15" hidden="false" customHeight="false" outlineLevel="0" collapsed="false">
      <c r="A35" s="2" t="s">
        <v>390</v>
      </c>
      <c r="B35" s="11" t="n">
        <v>2884583.65</v>
      </c>
      <c r="C35" s="11" t="n">
        <v>2982907.36</v>
      </c>
      <c r="D35" s="11" t="n">
        <v>3068355.96</v>
      </c>
      <c r="J35" s="22"/>
      <c r="K35" s="22"/>
      <c r="L35" s="22"/>
      <c r="M35" s="22"/>
      <c r="N35" s="22"/>
      <c r="O35" s="22"/>
      <c r="P35" s="22"/>
      <c r="Q35" s="22"/>
      <c r="R35" s="22"/>
      <c r="S35" s="22"/>
    </row>
    <row r="36" customFormat="false" ht="15" hidden="false" customHeight="false" outlineLevel="0" collapsed="false">
      <c r="A36" s="2" t="s">
        <v>407</v>
      </c>
      <c r="B36" s="11" t="n">
        <v>2039767.82</v>
      </c>
      <c r="C36" s="11" t="n">
        <v>2273217.17</v>
      </c>
      <c r="D36" s="11" t="n">
        <v>2183163.57</v>
      </c>
      <c r="J36" s="22"/>
      <c r="K36" s="22"/>
      <c r="L36" s="22"/>
      <c r="M36" s="22"/>
      <c r="N36" s="22"/>
      <c r="O36" s="22"/>
      <c r="P36" s="22"/>
      <c r="Q36" s="22"/>
      <c r="R36" s="22"/>
      <c r="S36" s="22"/>
    </row>
    <row r="37" customFormat="false" ht="15" hidden="false" customHeight="false" outlineLevel="0" collapsed="false">
      <c r="A37" s="2" t="s">
        <v>391</v>
      </c>
      <c r="B37" s="11" t="n">
        <v>196902.61</v>
      </c>
      <c r="C37" s="11" t="n">
        <v>278899.86</v>
      </c>
      <c r="D37" s="11" t="n">
        <v>278670.58</v>
      </c>
      <c r="J37" s="22"/>
      <c r="K37" s="22"/>
      <c r="L37" s="22"/>
      <c r="M37" s="22"/>
      <c r="N37" s="22"/>
      <c r="O37" s="22"/>
      <c r="P37" s="22"/>
      <c r="Q37" s="22"/>
      <c r="R37" s="22"/>
      <c r="S37" s="22"/>
    </row>
    <row r="38" customFormat="false" ht="15" hidden="false" customHeight="false" outlineLevel="0" collapsed="false">
      <c r="A38" s="2" t="s">
        <v>392</v>
      </c>
      <c r="B38" s="11" t="n">
        <v>0</v>
      </c>
      <c r="C38" s="11" t="n">
        <v>403.98</v>
      </c>
      <c r="D38" s="11" t="n">
        <v>0</v>
      </c>
      <c r="J38" s="22"/>
      <c r="K38" s="22"/>
      <c r="L38" s="22"/>
      <c r="M38" s="22"/>
      <c r="N38" s="22"/>
      <c r="O38" s="22"/>
      <c r="P38" s="22"/>
      <c r="Q38" s="22"/>
      <c r="R38" s="22"/>
      <c r="S38" s="22"/>
    </row>
    <row r="39" customFormat="false" ht="15" hidden="false" customHeight="false" outlineLevel="0" collapsed="false">
      <c r="A39" s="2" t="s">
        <v>393</v>
      </c>
      <c r="B39" s="11" t="n">
        <v>0</v>
      </c>
      <c r="C39" s="11" t="n">
        <v>1579728.14</v>
      </c>
      <c r="D39" s="11" t="n">
        <v>2455688.22</v>
      </c>
      <c r="J39" s="22"/>
      <c r="K39" s="22"/>
      <c r="L39" s="22"/>
      <c r="M39" s="22"/>
      <c r="N39" s="22"/>
      <c r="O39" s="22"/>
      <c r="P39" s="22"/>
      <c r="Q39" s="22"/>
      <c r="R39" s="22"/>
      <c r="S39" s="22"/>
    </row>
    <row r="40" customFormat="false" ht="15" hidden="false" customHeight="false" outlineLevel="0" collapsed="false">
      <c r="A40" s="2" t="s">
        <v>408</v>
      </c>
      <c r="B40" s="11" t="n">
        <v>-3911.95</v>
      </c>
      <c r="C40" s="11" t="n">
        <v>-1752.89</v>
      </c>
      <c r="D40" s="11" t="n">
        <v>-1740.79</v>
      </c>
    </row>
    <row r="41" customFormat="false" ht="15" hidden="false" customHeight="false" outlineLevel="0" collapsed="false">
      <c r="A41" s="2" t="s">
        <v>394</v>
      </c>
      <c r="B41" s="11" t="n">
        <v>-76395.5</v>
      </c>
      <c r="C41" s="11" t="n">
        <v>-196870.77</v>
      </c>
      <c r="D41" s="11" t="n">
        <v>-896690.15</v>
      </c>
    </row>
    <row r="42" customFormat="false" ht="15" hidden="false" customHeight="false" outlineLevel="0" collapsed="false">
      <c r="A42" s="2" t="s">
        <v>395</v>
      </c>
      <c r="B42" s="11" t="n">
        <v>0</v>
      </c>
      <c r="C42" s="11" t="n">
        <v>0</v>
      </c>
      <c r="D42" s="11" t="n">
        <v>0</v>
      </c>
    </row>
    <row r="43" customFormat="false" ht="15" hidden="false" customHeight="false" outlineLevel="0" collapsed="false">
      <c r="A43" s="2" t="s">
        <v>396</v>
      </c>
      <c r="B43" s="11" t="n">
        <v>-1326723.42</v>
      </c>
      <c r="C43" s="11" t="n">
        <v>-1772194.68</v>
      </c>
      <c r="D43" s="11" t="n">
        <v>-2639571.77</v>
      </c>
    </row>
    <row r="44" customFormat="false" ht="15" hidden="false" customHeight="false" outlineLevel="0" collapsed="false">
      <c r="A44" s="2" t="s">
        <v>409</v>
      </c>
      <c r="B44" s="11" t="n">
        <v>52150.89</v>
      </c>
      <c r="C44" s="11" t="n">
        <v>-44320.63</v>
      </c>
      <c r="D44" s="11" t="n">
        <v>-87462.16</v>
      </c>
    </row>
    <row r="45" customFormat="false" ht="15" hidden="false" customHeight="false" outlineLevel="0" collapsed="false">
      <c r="A45" s="2" t="s">
        <v>410</v>
      </c>
      <c r="B45" s="11" t="n">
        <v>194344.21</v>
      </c>
      <c r="C45" s="11" t="n">
        <v>-33988.98</v>
      </c>
      <c r="D45" s="11" t="n">
        <v>60533.07</v>
      </c>
    </row>
    <row r="46" customFormat="false" ht="15" hidden="false" customHeight="false" outlineLevel="0" collapsed="false">
      <c r="A46" s="2" t="s">
        <v>411</v>
      </c>
      <c r="B46" s="11" t="n">
        <v>0</v>
      </c>
      <c r="C46" s="11" t="n">
        <v>0</v>
      </c>
      <c r="D46" s="11" t="n">
        <v>4076574.31</v>
      </c>
    </row>
    <row r="47" customFormat="false" ht="15" hidden="false" customHeight="false" outlineLevel="0" collapsed="false">
      <c r="A47" s="1" t="s">
        <v>171</v>
      </c>
      <c r="B47" s="14" t="n">
        <f aca="false">SUM(B34:B46)</f>
        <v>32192869.95</v>
      </c>
      <c r="C47" s="14" t="n">
        <f aca="false">SUM(C34:C46)</f>
        <v>37258898.51</v>
      </c>
      <c r="D47" s="14" t="n">
        <f aca="false">SUM(D34:D46)</f>
        <v>45756419.35</v>
      </c>
    </row>
    <row r="48" customFormat="false" ht="15" hidden="false" customHeight="false" outlineLevel="0" collapsed="false">
      <c r="A48" s="2" t="s">
        <v>412</v>
      </c>
      <c r="B48" s="12" t="n">
        <f aca="false">SUMIFS('4a Revenue quality'!$F$7:$F$10,'4a Revenue quality'!$A$7:$A$10,2023)</f>
        <v>32192869.95</v>
      </c>
      <c r="C48" s="12" t="n">
        <f aca="false">SUMIFS('4a Revenue quality'!$F$7:$F$10,'4a Revenue quality'!$A$7:$A$10,2024)</f>
        <v>37258898.51</v>
      </c>
      <c r="D48" s="12" t="n">
        <f aca="false">SUMIFS('4a Revenue quality'!$F$7:$F$10,'4a Revenue quality'!$A$7:$A$10,2025)</f>
        <v>45756419.35</v>
      </c>
    </row>
    <row r="49" customFormat="false" ht="15" hidden="false" customHeight="false" outlineLevel="0" collapsed="false">
      <c r="A49" s="2" t="s">
        <v>145</v>
      </c>
      <c r="B49" s="15" t="b">
        <f aca="false">ABS(B47-B48)&lt;0.01</f>
        <v>1</v>
      </c>
      <c r="C49" s="15" t="b">
        <f aca="false">ABS(C47-C48)&lt;0.01</f>
        <v>1</v>
      </c>
      <c r="D49" s="15" t="b">
        <f aca="false">ABS(D47-D48)&lt;0.01</f>
        <v>1</v>
      </c>
    </row>
    <row r="50" customFormat="false" ht="15" hidden="false" customHeight="false" outlineLevel="0" collapsed="false">
      <c r="A50" s="2" t="s">
        <v>413</v>
      </c>
      <c r="B50" s="12" t="n">
        <f aca="false">SUM(B35:B44)</f>
        <v>3766374.1</v>
      </c>
      <c r="C50" s="12" t="n">
        <f aca="false">SUM(C35:C44)</f>
        <v>5100017.54</v>
      </c>
      <c r="D50" s="12" t="n">
        <f aca="false">SUM(D35:D44)</f>
        <v>4360413.46</v>
      </c>
    </row>
    <row r="51" customFormat="false" ht="15" hidden="false" customHeight="false" outlineLevel="0" collapsed="false">
      <c r="A51" s="2" t="s">
        <v>414</v>
      </c>
      <c r="B51" s="12" t="n">
        <f aca="false">SUM(B45:B46)</f>
        <v>194344.21</v>
      </c>
      <c r="C51" s="12" t="n">
        <f aca="false">SUM(C45:C46)</f>
        <v>-33988.98</v>
      </c>
      <c r="D51" s="12" t="n">
        <f aca="false">SUM(D45:D46)</f>
        <v>4137107.38</v>
      </c>
    </row>
  </sheetData>
  <mergeCells count="1">
    <mergeCell ref="J26:S39"/>
  </mergeCells>
  <printOptions headings="false" gridLines="false" gridLinesSet="true" horizontalCentered="fals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&amp;C&amp;A</oddHeader>
    <oddFooter>&amp;LProject Northbridge: DRAFT&amp;CPage &amp;P of &amp;N</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5" min="2" style="0" width="13"/>
    <col collapsed="false" customWidth="true" hidden="false" outlineLevel="0" max="6" min="6" style="0" width="4"/>
    <col collapsed="false" customWidth="true" hidden="false" outlineLevel="0" max="10" min="7" style="0" width="13"/>
  </cols>
  <sheetData>
    <row r="1" customFormat="false" ht="15" hidden="false" customHeight="false" outlineLevel="0" collapsed="false">
      <c r="A1" s="1" t="s">
        <v>415</v>
      </c>
    </row>
    <row r="2" customFormat="false" ht="15" hidden="false" customHeight="false" outlineLevel="0" collapsed="false">
      <c r="A2" s="2" t="s">
        <v>35</v>
      </c>
    </row>
    <row r="3" customFormat="false" ht="15" hidden="false" customHeight="false" outlineLevel="0" collapsed="false">
      <c r="A3" s="2" t="s">
        <v>416</v>
      </c>
    </row>
    <row r="5" customFormat="false" ht="15" hidden="false" customHeight="false" outlineLevel="0" collapsed="false">
      <c r="A5" s="8" t="s">
        <v>417</v>
      </c>
    </row>
    <row r="6" customFormat="false" ht="30" hidden="false" customHeight="true" outlineLevel="0" collapsed="false">
      <c r="A6" s="4" t="s">
        <v>156</v>
      </c>
      <c r="B6" s="4" t="s">
        <v>57</v>
      </c>
      <c r="C6" s="4" t="s">
        <v>58</v>
      </c>
      <c r="D6" s="4" t="s">
        <v>59</v>
      </c>
      <c r="E6" s="4" t="s">
        <v>60</v>
      </c>
    </row>
    <row r="7" customFormat="false" ht="15" hidden="false" customHeight="false" outlineLevel="0" collapsed="false">
      <c r="A7" s="2" t="s">
        <v>160</v>
      </c>
      <c r="B7" s="11" t="n">
        <v>20979313.89</v>
      </c>
      <c r="C7" s="11" t="n">
        <v>23830469.2</v>
      </c>
      <c r="D7" s="11" t="n">
        <v>27735968.67</v>
      </c>
      <c r="E7" s="11" t="n">
        <v>31584836.35</v>
      </c>
    </row>
    <row r="8" customFormat="false" ht="15" hidden="false" customHeight="false" outlineLevel="0" collapsed="false">
      <c r="A8" s="2" t="s">
        <v>159</v>
      </c>
      <c r="B8" s="11" t="n">
        <v>3078864.24</v>
      </c>
      <c r="C8" s="11" t="n">
        <v>3594489.9</v>
      </c>
      <c r="D8" s="11" t="n">
        <v>4168383.63</v>
      </c>
      <c r="E8" s="11" t="n">
        <v>4574888.36</v>
      </c>
    </row>
    <row r="9" customFormat="false" ht="15" hidden="false" customHeight="false" outlineLevel="0" collapsed="false">
      <c r="A9" s="2" t="s">
        <v>162</v>
      </c>
      <c r="B9" s="11" t="n">
        <v>3190113.92</v>
      </c>
      <c r="C9" s="11" t="n">
        <v>3589707.05</v>
      </c>
      <c r="D9" s="11" t="n">
        <v>4210331.39</v>
      </c>
      <c r="E9" s="11" t="n">
        <v>4315372.44</v>
      </c>
    </row>
    <row r="10" customFormat="false" ht="15" hidden="false" customHeight="false" outlineLevel="0" collapsed="false">
      <c r="A10" s="2" t="s">
        <v>161</v>
      </c>
      <c r="B10" s="11" t="n">
        <v>983859.59</v>
      </c>
      <c r="C10" s="11" t="n">
        <v>1178203.8</v>
      </c>
      <c r="D10" s="11" t="n">
        <v>1144214.82</v>
      </c>
      <c r="E10" s="11" t="n">
        <v>5281322.2</v>
      </c>
    </row>
    <row r="11" customFormat="false" ht="15" hidden="false" customHeight="false" outlineLevel="0" collapsed="false">
      <c r="A11" s="1" t="s">
        <v>61</v>
      </c>
      <c r="B11" s="14" t="n">
        <f aca="false">SUM(B7:B10)</f>
        <v>28232151.64</v>
      </c>
      <c r="C11" s="14" t="n">
        <f aca="false">SUM(C7:C10)</f>
        <v>32192869.95</v>
      </c>
      <c r="D11" s="14" t="n">
        <f aca="false">SUM(D7:D10)</f>
        <v>37258898.51</v>
      </c>
      <c r="E11" s="14" t="n">
        <f aca="false">SUM(E7:E10)</f>
        <v>45756419.35</v>
      </c>
    </row>
    <row r="13" customFormat="false" ht="15" hidden="false" customHeight="false" outlineLevel="0" collapsed="false">
      <c r="A13" s="8" t="s">
        <v>418</v>
      </c>
    </row>
    <row r="14" customFormat="false" ht="30" hidden="false" customHeight="true" outlineLevel="0" collapsed="false">
      <c r="A14" s="4" t="s">
        <v>156</v>
      </c>
      <c r="B14" s="4" t="s">
        <v>57</v>
      </c>
      <c r="C14" s="4" t="s">
        <v>58</v>
      </c>
      <c r="D14" s="4" t="s">
        <v>59</v>
      </c>
      <c r="E14" s="4" t="s">
        <v>60</v>
      </c>
    </row>
    <row r="15" customFormat="false" ht="15" hidden="false" customHeight="false" outlineLevel="0" collapsed="false">
      <c r="A15" s="2" t="s">
        <v>160</v>
      </c>
      <c r="B15" s="11" t="n">
        <v>3863844.86</v>
      </c>
      <c r="C15" s="11" t="n">
        <v>4363175.58</v>
      </c>
      <c r="D15" s="11" t="n">
        <v>5040484.95</v>
      </c>
      <c r="E15" s="11" t="n">
        <v>5662706.5</v>
      </c>
    </row>
    <row r="16" customFormat="false" ht="15" hidden="false" customHeight="false" outlineLevel="0" collapsed="false">
      <c r="A16" s="2" t="s">
        <v>159</v>
      </c>
      <c r="B16" s="11" t="n">
        <v>681022.94</v>
      </c>
      <c r="C16" s="11" t="n">
        <v>800746.9</v>
      </c>
      <c r="D16" s="11" t="n">
        <v>937570.01</v>
      </c>
      <c r="E16" s="11" t="n">
        <v>1018543.24</v>
      </c>
    </row>
    <row r="17" customFormat="false" ht="15" hidden="false" customHeight="false" outlineLevel="0" collapsed="false">
      <c r="A17" s="2" t="s">
        <v>162</v>
      </c>
      <c r="B17" s="11" t="n">
        <v>1101125.67</v>
      </c>
      <c r="C17" s="11" t="n">
        <v>1272684.79</v>
      </c>
      <c r="D17" s="11" t="n">
        <v>1494750.77</v>
      </c>
      <c r="E17" s="11" t="n">
        <v>1475499.74</v>
      </c>
    </row>
    <row r="18" customFormat="false" ht="15" hidden="false" customHeight="false" outlineLevel="0" collapsed="false">
      <c r="A18" s="2" t="s">
        <v>161</v>
      </c>
      <c r="B18" s="11" t="n">
        <v>721078.85</v>
      </c>
      <c r="C18" s="11" t="n">
        <v>840341.31</v>
      </c>
      <c r="D18" s="11" t="n">
        <v>803287.42</v>
      </c>
      <c r="E18" s="11" t="n">
        <v>3851384.23</v>
      </c>
    </row>
    <row r="19" customFormat="false" ht="15" hidden="false" customHeight="false" outlineLevel="0" collapsed="false">
      <c r="A19" s="1" t="s">
        <v>61</v>
      </c>
      <c r="B19" s="14" t="n">
        <f aca="false">SUM(B15:B18)</f>
        <v>6367072.32</v>
      </c>
      <c r="C19" s="14" t="n">
        <f aca="false">SUM(C15:C18)</f>
        <v>7276948.58</v>
      </c>
      <c r="D19" s="14" t="n">
        <f aca="false">SUM(D15:D18)</f>
        <v>8276093.15</v>
      </c>
      <c r="E19" s="14" t="n">
        <f aca="false">SUM(E15:E18)</f>
        <v>12008133.71</v>
      </c>
    </row>
    <row r="21" customFormat="false" ht="15" hidden="false" customHeight="false" outlineLevel="0" collapsed="false">
      <c r="A21" s="8" t="s">
        <v>419</v>
      </c>
    </row>
    <row r="22" customFormat="false" ht="30" hidden="false" customHeight="true" outlineLevel="0" collapsed="false">
      <c r="A22" s="4" t="s">
        <v>156</v>
      </c>
      <c r="B22" s="4" t="s">
        <v>57</v>
      </c>
      <c r="C22" s="4" t="s">
        <v>58</v>
      </c>
      <c r="D22" s="4" t="s">
        <v>59</v>
      </c>
      <c r="E22" s="4" t="s">
        <v>60</v>
      </c>
    </row>
    <row r="23" customFormat="false" ht="15" hidden="false" customHeight="false" outlineLevel="0" collapsed="false">
      <c r="A23" s="2" t="s">
        <v>160</v>
      </c>
      <c r="B23" s="12" t="n">
        <f aca="false">B7-B15</f>
        <v>17115469.03</v>
      </c>
      <c r="C23" s="12" t="n">
        <f aca="false">C7-C15</f>
        <v>19467293.62</v>
      </c>
      <c r="D23" s="12" t="n">
        <f aca="false">D7-D15</f>
        <v>22695483.72</v>
      </c>
      <c r="E23" s="12" t="n">
        <f aca="false">E7-E15</f>
        <v>25922129.85</v>
      </c>
    </row>
    <row r="24" customFormat="false" ht="15" hidden="false" customHeight="true" outlineLevel="0" collapsed="false">
      <c r="A24" s="2" t="s">
        <v>159</v>
      </c>
      <c r="B24" s="12" t="n">
        <f aca="false">B8-B16</f>
        <v>2397841.3</v>
      </c>
      <c r="C24" s="12" t="n">
        <f aca="false">C8-C16</f>
        <v>2793743</v>
      </c>
      <c r="D24" s="12" t="n">
        <f aca="false">D8-D16</f>
        <v>3230813.62</v>
      </c>
      <c r="E24" s="12" t="n">
        <f aca="false">E8-E16</f>
        <v>3556345.12</v>
      </c>
      <c r="K24" s="22" t="s">
        <v>420</v>
      </c>
      <c r="L24" s="22"/>
      <c r="M24" s="22"/>
      <c r="N24" s="22"/>
      <c r="O24" s="22"/>
      <c r="P24" s="22"/>
      <c r="Q24" s="22"/>
      <c r="R24" s="22"/>
      <c r="S24" s="22"/>
    </row>
    <row r="25" customFormat="false" ht="15" hidden="false" customHeight="false" outlineLevel="0" collapsed="false">
      <c r="A25" s="2" t="s">
        <v>162</v>
      </c>
      <c r="B25" s="12" t="n">
        <f aca="false">B9-B17</f>
        <v>2088988.25</v>
      </c>
      <c r="C25" s="12" t="n">
        <f aca="false">C9-C17</f>
        <v>2317022.26</v>
      </c>
      <c r="D25" s="12" t="n">
        <f aca="false">D9-D17</f>
        <v>2715580.62</v>
      </c>
      <c r="E25" s="12" t="n">
        <f aca="false">E9-E17</f>
        <v>2839872.7</v>
      </c>
      <c r="K25" s="22"/>
      <c r="L25" s="22"/>
      <c r="M25" s="22"/>
      <c r="N25" s="22"/>
      <c r="O25" s="22"/>
      <c r="P25" s="22"/>
      <c r="Q25" s="22"/>
      <c r="R25" s="22"/>
      <c r="S25" s="22"/>
    </row>
    <row r="26" customFormat="false" ht="15" hidden="false" customHeight="false" outlineLevel="0" collapsed="false">
      <c r="A26" s="2" t="s">
        <v>161</v>
      </c>
      <c r="B26" s="12" t="n">
        <f aca="false">B10-B18</f>
        <v>262780.74</v>
      </c>
      <c r="C26" s="12" t="n">
        <f aca="false">C10-C18</f>
        <v>337862.49</v>
      </c>
      <c r="D26" s="12" t="n">
        <f aca="false">D10-D18</f>
        <v>340927.4</v>
      </c>
      <c r="E26" s="12" t="n">
        <f aca="false">E10-E18</f>
        <v>1429937.97</v>
      </c>
      <c r="K26" s="22"/>
      <c r="L26" s="22"/>
      <c r="M26" s="22"/>
      <c r="N26" s="22"/>
      <c r="O26" s="22"/>
      <c r="P26" s="22"/>
      <c r="Q26" s="22"/>
      <c r="R26" s="22"/>
      <c r="S26" s="22"/>
    </row>
    <row r="27" customFormat="false" ht="15" hidden="false" customHeight="false" outlineLevel="0" collapsed="false">
      <c r="K27" s="22"/>
      <c r="L27" s="22"/>
      <c r="M27" s="22"/>
      <c r="N27" s="22"/>
      <c r="O27" s="22"/>
      <c r="P27" s="22"/>
      <c r="Q27" s="22"/>
      <c r="R27" s="22"/>
      <c r="S27" s="22"/>
    </row>
    <row r="28" customFormat="false" ht="15" hidden="false" customHeight="false" outlineLevel="0" collapsed="false">
      <c r="A28" s="8" t="s">
        <v>421</v>
      </c>
      <c r="K28" s="22"/>
      <c r="L28" s="22"/>
      <c r="M28" s="22"/>
      <c r="N28" s="22"/>
      <c r="O28" s="22"/>
      <c r="P28" s="22"/>
      <c r="Q28" s="22"/>
      <c r="R28" s="22"/>
      <c r="S28" s="22"/>
    </row>
    <row r="29" customFormat="false" ht="30" hidden="false" customHeight="true" outlineLevel="0" collapsed="false">
      <c r="A29" s="4" t="s">
        <v>156</v>
      </c>
      <c r="B29" s="4" t="s">
        <v>57</v>
      </c>
      <c r="C29" s="4" t="s">
        <v>58</v>
      </c>
      <c r="D29" s="4" t="s">
        <v>59</v>
      </c>
      <c r="E29" s="4" t="s">
        <v>60</v>
      </c>
      <c r="K29" s="22"/>
      <c r="L29" s="22"/>
      <c r="M29" s="22"/>
      <c r="N29" s="22"/>
      <c r="O29" s="22"/>
      <c r="P29" s="22"/>
      <c r="Q29" s="22"/>
      <c r="R29" s="22"/>
      <c r="S29" s="22"/>
    </row>
    <row r="30" customFormat="false" ht="15" hidden="false" customHeight="false" outlineLevel="0" collapsed="false">
      <c r="A30" s="2" t="s">
        <v>160</v>
      </c>
      <c r="B30" s="23" t="n">
        <f aca="false">B23/B7</f>
        <v>0.815825966461099</v>
      </c>
      <c r="C30" s="23" t="n">
        <f aca="false">C23/C7</f>
        <v>0.816907693114158</v>
      </c>
      <c r="D30" s="23" t="n">
        <f aca="false">D23/D7</f>
        <v>0.818269013425447</v>
      </c>
      <c r="E30" s="23" t="n">
        <f aca="false">E23/E7</f>
        <v>0.820714394804835</v>
      </c>
      <c r="K30" s="22"/>
      <c r="L30" s="22"/>
      <c r="M30" s="22"/>
      <c r="N30" s="22"/>
      <c r="O30" s="22"/>
      <c r="P30" s="22"/>
      <c r="Q30" s="22"/>
      <c r="R30" s="22"/>
      <c r="S30" s="22"/>
    </row>
    <row r="31" customFormat="false" ht="15" hidden="false" customHeight="false" outlineLevel="0" collapsed="false">
      <c r="A31" s="2" t="s">
        <v>159</v>
      </c>
      <c r="B31" s="23" t="n">
        <f aca="false">B24/B8</f>
        <v>0.778807090240523</v>
      </c>
      <c r="C31" s="23" t="n">
        <f aca="false">C24/C8</f>
        <v>0.777229336490833</v>
      </c>
      <c r="D31" s="23" t="n">
        <f aca="false">D24/D8</f>
        <v>0.775075882351069</v>
      </c>
      <c r="E31" s="23" t="n">
        <f aca="false">E24/E8</f>
        <v>0.777362164964393</v>
      </c>
      <c r="K31" s="22"/>
      <c r="L31" s="22"/>
      <c r="M31" s="22"/>
      <c r="N31" s="22"/>
      <c r="O31" s="22"/>
      <c r="P31" s="22"/>
      <c r="Q31" s="22"/>
      <c r="R31" s="22"/>
      <c r="S31" s="22"/>
    </row>
    <row r="32" customFormat="false" ht="15" hidden="false" customHeight="false" outlineLevel="0" collapsed="false">
      <c r="A32" s="2" t="s">
        <v>162</v>
      </c>
      <c r="B32" s="23" t="n">
        <f aca="false">B25/B9</f>
        <v>0.654831865690865</v>
      </c>
      <c r="C32" s="23" t="n">
        <f aca="false">C25/C9</f>
        <v>0.645462771119443</v>
      </c>
      <c r="D32" s="23" t="n">
        <f aca="false">D25/D9</f>
        <v>0.644980256530354</v>
      </c>
      <c r="E32" s="23" t="n">
        <f aca="false">E25/E9</f>
        <v>0.658082874534</v>
      </c>
      <c r="K32" s="22"/>
      <c r="L32" s="22"/>
      <c r="M32" s="22"/>
      <c r="N32" s="22"/>
      <c r="O32" s="22"/>
      <c r="P32" s="22"/>
      <c r="Q32" s="22"/>
      <c r="R32" s="22"/>
      <c r="S32" s="22"/>
    </row>
    <row r="33" customFormat="false" ht="15" hidden="false" customHeight="false" outlineLevel="0" collapsed="false">
      <c r="A33" s="2" t="s">
        <v>161</v>
      </c>
      <c r="B33" s="23" t="n">
        <f aca="false">B26/B10</f>
        <v>0.267091709702194</v>
      </c>
      <c r="C33" s="23" t="n">
        <f aca="false">C26/C10</f>
        <v>0.2867606521045</v>
      </c>
      <c r="D33" s="23" t="n">
        <f aca="false">D26/D10</f>
        <v>0.297957511160361</v>
      </c>
      <c r="E33" s="23" t="n">
        <f aca="false">E26/E10</f>
        <v>0.270753783967204</v>
      </c>
      <c r="K33" s="22"/>
      <c r="L33" s="22"/>
      <c r="M33" s="22"/>
      <c r="N33" s="22"/>
      <c r="O33" s="22"/>
      <c r="P33" s="22"/>
      <c r="Q33" s="22"/>
      <c r="R33" s="22"/>
      <c r="S33" s="22"/>
    </row>
    <row r="34" customFormat="false" ht="15" hidden="false" customHeight="false" outlineLevel="0" collapsed="false">
      <c r="K34" s="22"/>
      <c r="L34" s="22"/>
      <c r="M34" s="22"/>
      <c r="N34" s="22"/>
      <c r="O34" s="22"/>
      <c r="P34" s="22"/>
      <c r="Q34" s="22"/>
      <c r="R34" s="22"/>
      <c r="S34" s="22"/>
    </row>
    <row r="35" customFormat="false" ht="15" hidden="false" customHeight="false" outlineLevel="0" collapsed="false">
      <c r="A35" s="8" t="s">
        <v>422</v>
      </c>
      <c r="K35" s="22"/>
      <c r="L35" s="22"/>
      <c r="M35" s="22"/>
      <c r="N35" s="22"/>
      <c r="O35" s="22"/>
      <c r="P35" s="22"/>
      <c r="Q35" s="22"/>
      <c r="R35" s="22"/>
      <c r="S35" s="22"/>
    </row>
    <row r="36" customFormat="false" ht="30" hidden="false" customHeight="true" outlineLevel="0" collapsed="false">
      <c r="A36" s="4" t="s">
        <v>156</v>
      </c>
      <c r="B36" s="4" t="s">
        <v>57</v>
      </c>
      <c r="C36" s="4" t="s">
        <v>58</v>
      </c>
      <c r="D36" s="4" t="s">
        <v>59</v>
      </c>
      <c r="E36" s="4" t="s">
        <v>60</v>
      </c>
      <c r="K36" s="22"/>
      <c r="L36" s="22"/>
      <c r="M36" s="22"/>
      <c r="N36" s="22"/>
      <c r="O36" s="22"/>
      <c r="P36" s="22"/>
      <c r="Q36" s="22"/>
      <c r="R36" s="22"/>
      <c r="S36" s="22"/>
    </row>
    <row r="37" customFormat="false" ht="15" hidden="false" customHeight="false" outlineLevel="0" collapsed="false">
      <c r="A37" s="2" t="s">
        <v>160</v>
      </c>
      <c r="B37" s="23" t="n">
        <f aca="false">B7/B$11</f>
        <v>0.743100071064934</v>
      </c>
      <c r="C37" s="23" t="n">
        <f aca="false">C7/C$11</f>
        <v>0.740240594796675</v>
      </c>
      <c r="D37" s="23" t="n">
        <f aca="false">D7/D$11</f>
        <v>0.74441193323404</v>
      </c>
      <c r="E37" s="23" t="n">
        <f aca="false">E7/E$11</f>
        <v>0.69028208060603</v>
      </c>
      <c r="K37" s="22"/>
      <c r="L37" s="22"/>
      <c r="M37" s="22"/>
      <c r="N37" s="22"/>
      <c r="O37" s="22"/>
      <c r="P37" s="22"/>
      <c r="Q37" s="22"/>
      <c r="R37" s="22"/>
      <c r="S37" s="22"/>
    </row>
    <row r="38" customFormat="false" ht="15" hidden="false" customHeight="false" outlineLevel="0" collapsed="false">
      <c r="A38" s="2" t="s">
        <v>159</v>
      </c>
      <c r="B38" s="23" t="n">
        <f aca="false">B8/B$11</f>
        <v>0.109055245921738</v>
      </c>
      <c r="C38" s="23" t="n">
        <f aca="false">C8/C$11</f>
        <v>0.111654844864181</v>
      </c>
      <c r="D38" s="23" t="n">
        <f aca="false">D8/D$11</f>
        <v>0.111876190566429</v>
      </c>
      <c r="E38" s="23" t="n">
        <f aca="false">E8/E$11</f>
        <v>0.0999835307261647</v>
      </c>
    </row>
    <row r="39" customFormat="false" ht="15" hidden="false" customHeight="false" outlineLevel="0" collapsed="false">
      <c r="A39" s="2" t="s">
        <v>162</v>
      </c>
      <c r="B39" s="23" t="n">
        <f aca="false">B9/B$11</f>
        <v>0.112995777320782</v>
      </c>
      <c r="C39" s="23" t="n">
        <f aca="false">C9/C$11</f>
        <v>0.111506276252329</v>
      </c>
      <c r="D39" s="23" t="n">
        <f aca="false">D9/D$11</f>
        <v>0.113002035979941</v>
      </c>
      <c r="E39" s="23" t="n">
        <f aca="false">E9/E$11</f>
        <v>0.0943118474151322</v>
      </c>
    </row>
    <row r="40" customFormat="false" ht="15" hidden="false" customHeight="false" outlineLevel="0" collapsed="false">
      <c r="A40" s="2" t="s">
        <v>161</v>
      </c>
      <c r="B40" s="23" t="n">
        <f aca="false">B10/B$11</f>
        <v>0.0348489056925454</v>
      </c>
      <c r="C40" s="23" t="n">
        <f aca="false">C10/C$11</f>
        <v>0.0365982840868153</v>
      </c>
      <c r="D40" s="23" t="n">
        <f aca="false">D10/D$11</f>
        <v>0.0307098402195895</v>
      </c>
      <c r="E40" s="23" t="n">
        <f aca="false">E10/E$11</f>
        <v>0.115422541252673</v>
      </c>
    </row>
    <row r="41" customFormat="false" ht="15" hidden="false" customHeight="false" outlineLevel="0" collapsed="false">
      <c r="A41" s="8" t="s">
        <v>423</v>
      </c>
    </row>
    <row r="42" customFormat="false" ht="15" hidden="false" customHeight="false" outlineLevel="0" collapsed="false">
      <c r="A42" s="1" t="s">
        <v>424</v>
      </c>
      <c r="B42" s="14" t="n">
        <f aca="false">B11-B19</f>
        <v>21865079.32</v>
      </c>
      <c r="C42" s="14" t="n">
        <f aca="false">C11-C19</f>
        <v>24915921.37</v>
      </c>
      <c r="D42" s="14" t="n">
        <f aca="false">D11-D19</f>
        <v>28982805.36</v>
      </c>
      <c r="E42" s="14" t="n">
        <f aca="false">E11-E19</f>
        <v>33748285.64</v>
      </c>
    </row>
    <row r="43" customFormat="false" ht="15" hidden="false" customHeight="false" outlineLevel="0" collapsed="false">
      <c r="A43" s="1" t="s">
        <v>425</v>
      </c>
      <c r="B43" s="30" t="n">
        <f aca="false">B42/B11</f>
        <v>0.774474421886464</v>
      </c>
      <c r="C43" s="30" t="n">
        <f aca="false">C42/C11</f>
        <v>0.773957755512257</v>
      </c>
      <c r="D43" s="30" t="n">
        <f aca="false">D42/D11</f>
        <v>0.777876065021655</v>
      </c>
      <c r="E43" s="30" t="n">
        <f aca="false">E42/E11</f>
        <v>0.737563955384109</v>
      </c>
    </row>
    <row r="44" customFormat="false" ht="15" hidden="false" customHeight="false" outlineLevel="0" collapsed="false">
      <c r="A44" s="2" t="s">
        <v>426</v>
      </c>
      <c r="C44" s="24" t="n">
        <f aca="false">(C43-B43)*100</f>
        <v>-0.0516666374206998</v>
      </c>
      <c r="D44" s="24" t="n">
        <f aca="false">(D43-C43)*100</f>
        <v>0.391830950939742</v>
      </c>
      <c r="E44" s="24" t="n">
        <f aca="false">(E43-D43)*100</f>
        <v>-4.03121096375455</v>
      </c>
    </row>
    <row r="45" customFormat="false" ht="15" hidden="false" customHeight="false" outlineLevel="0" collapsed="false">
      <c r="A45" s="2" t="s">
        <v>427</v>
      </c>
      <c r="C45" s="24" t="n">
        <f aca="false">SUMPRODUCT(C37:C40-B37:B40,B30:B33)*100</f>
        <v>-0.0816377199331314</v>
      </c>
      <c r="D45" s="24" t="n">
        <f aca="false">SUMPRODUCT(D37:D40-C37:C40,C30:C33)*100</f>
        <v>0.285651804882721</v>
      </c>
      <c r="E45" s="24" t="n">
        <f aca="false">SUMPRODUCT(E37:E40-D37:D40,D30:D33)*100</f>
        <v>-4.03245119776229</v>
      </c>
    </row>
    <row r="46" customFormat="false" ht="15" hidden="false" customHeight="false" outlineLevel="0" collapsed="false">
      <c r="A46" s="2" t="s">
        <v>428</v>
      </c>
      <c r="C46" s="24" t="n">
        <f aca="false">SUMPRODUCT(C37:C40,C30:C33-B30:B33)*100</f>
        <v>0.0299710825124152</v>
      </c>
      <c r="D46" s="24" t="n">
        <f aca="false">SUMPRODUCT(D37:D40,D30:D33-C30:C33)*100</f>
        <v>0.106179146057047</v>
      </c>
      <c r="E46" s="24" t="n">
        <f aca="false">SUMPRODUCT(E37:E40,E30:E33-D30:D33)*100</f>
        <v>0.00124023400773186</v>
      </c>
    </row>
    <row r="47" customFormat="false" ht="15" hidden="false" customHeight="false" outlineLevel="0" collapsed="false">
      <c r="A47" s="2" t="s">
        <v>429</v>
      </c>
      <c r="C47" s="15" t="b">
        <f aca="false">ABS(C45+C46-C44)&lt;0.000001</f>
        <v>1</v>
      </c>
      <c r="D47" s="15" t="b">
        <f aca="false">ABS(D45+D46-D44)&lt;0.000001</f>
        <v>1</v>
      </c>
      <c r="E47" s="15" t="b">
        <f aca="false">ABS(E45+E46-E44)&lt;0.000001</f>
        <v>1</v>
      </c>
    </row>
    <row r="49" customFormat="false" ht="15" hidden="false" customHeight="false" outlineLevel="0" collapsed="false">
      <c r="A49" s="8" t="s">
        <v>430</v>
      </c>
    </row>
    <row r="50" customFormat="false" ht="15" hidden="false" customHeight="false" outlineLevel="0" collapsed="false">
      <c r="A50" s="2" t="s">
        <v>115</v>
      </c>
      <c r="B50" s="11" t="n">
        <v>28232151.64</v>
      </c>
      <c r="C50" s="11" t="n">
        <v>32174369.95</v>
      </c>
      <c r="D50" s="11" t="n">
        <v>37261398.51</v>
      </c>
      <c r="E50" s="11" t="n">
        <v>45771419.35</v>
      </c>
    </row>
    <row r="51" customFormat="false" ht="15" hidden="false" customHeight="false" outlineLevel="0" collapsed="false">
      <c r="A51" s="2" t="s">
        <v>431</v>
      </c>
      <c r="B51" s="11" t="n">
        <v>6367072.32</v>
      </c>
      <c r="C51" s="11" t="n">
        <v>7276948.58</v>
      </c>
      <c r="D51" s="11" t="n">
        <v>8276093.15</v>
      </c>
      <c r="E51" s="11" t="n">
        <v>12008133.71</v>
      </c>
    </row>
    <row r="52" customFormat="false" ht="15" hidden="false" customHeight="false" outlineLevel="0" collapsed="false">
      <c r="A52" s="2" t="s">
        <v>432</v>
      </c>
      <c r="B52" s="12" t="n">
        <f aca="false">B50-B51</f>
        <v>21865079.32</v>
      </c>
      <c r="C52" s="12" t="n">
        <f aca="false">C50-C51</f>
        <v>24897421.37</v>
      </c>
      <c r="D52" s="12" t="n">
        <f aca="false">D50-D51</f>
        <v>28985305.36</v>
      </c>
      <c r="E52" s="12" t="n">
        <f aca="false">E50-E51</f>
        <v>33763285.64</v>
      </c>
    </row>
    <row r="53" customFormat="false" ht="15" hidden="false" customHeight="false" outlineLevel="0" collapsed="false">
      <c r="A53" s="2" t="s">
        <v>433</v>
      </c>
      <c r="B53" s="12" t="n">
        <f aca="false">B42</f>
        <v>21865079.32</v>
      </c>
      <c r="C53" s="12" t="n">
        <f aca="false">C42</f>
        <v>24915921.37</v>
      </c>
      <c r="D53" s="12" t="n">
        <f aca="false">D42</f>
        <v>28982805.36</v>
      </c>
      <c r="E53" s="12" t="n">
        <f aca="false">E42</f>
        <v>33748285.64</v>
      </c>
    </row>
    <row r="54" customFormat="false" ht="15" hidden="false" customHeight="false" outlineLevel="0" collapsed="false">
      <c r="A54" s="2" t="s">
        <v>118</v>
      </c>
      <c r="B54" s="18" t="n">
        <f aca="false">B52-B53</f>
        <v>0</v>
      </c>
      <c r="C54" s="18" t="n">
        <f aca="false">C52-C53</f>
        <v>-18500</v>
      </c>
      <c r="D54" s="18" t="n">
        <f aca="false">D52-D53</f>
        <v>2500</v>
      </c>
      <c r="E54" s="18" t="n">
        <f aca="false">E52-E53</f>
        <v>15000</v>
      </c>
    </row>
    <row r="55" customFormat="false" ht="15" hidden="false" customHeight="false" outlineLevel="0" collapsed="false">
      <c r="A55" s="2" t="s">
        <v>434</v>
      </c>
      <c r="B55" s="18" t="n">
        <f aca="false">-SUMIFS(Reconciliation!$D$59:$D$62,Reconciliation!$A$59:$A$62,2022)</f>
        <v>-0</v>
      </c>
      <c r="C55" s="18" t="n">
        <f aca="false">-SUMIFS(Reconciliation!$D$59:$D$62,Reconciliation!$A$59:$A$62,2023)</f>
        <v>-18500</v>
      </c>
      <c r="D55" s="18" t="n">
        <f aca="false">-SUMIFS(Reconciliation!$D$59:$D$62,Reconciliation!$A$59:$A$62,2024)</f>
        <v>2500</v>
      </c>
      <c r="E55" s="18" t="n">
        <f aca="false">-SUMIFS(Reconciliation!$D$59:$D$62,Reconciliation!$A$59:$A$62,2025)</f>
        <v>15000</v>
      </c>
    </row>
    <row r="56" customFormat="false" ht="15" hidden="false" customHeight="false" outlineLevel="0" collapsed="false">
      <c r="A56" s="2" t="s">
        <v>145</v>
      </c>
      <c r="B56" s="15" t="b">
        <f aca="false">AND(ABS(B54-B55)&lt;0.01,ABS(B51-B19)&lt;0.01)</f>
        <v>1</v>
      </c>
      <c r="C56" s="15" t="b">
        <f aca="false">AND(ABS(C54-C55)&lt;0.01,ABS(C51-C19)&lt;0.01)</f>
        <v>1</v>
      </c>
      <c r="D56" s="15" t="b">
        <f aca="false">AND(ABS(D54-D55)&lt;0.01,ABS(D51-D19)&lt;0.01)</f>
        <v>1</v>
      </c>
      <c r="E56" s="15" t="b">
        <f aca="false">AND(ABS(E54-E55)&lt;0.01,ABS(E51-E19)&lt;0.01)</f>
        <v>1</v>
      </c>
    </row>
    <row r="59" customFormat="false" ht="15" hidden="false" customHeight="false" outlineLevel="0" collapsed="false">
      <c r="A59" s="8" t="s">
        <v>435</v>
      </c>
    </row>
    <row r="60" customFormat="false" ht="30" hidden="false" customHeight="true" outlineLevel="0" collapsed="false">
      <c r="A60" s="4" t="s">
        <v>114</v>
      </c>
      <c r="B60" s="4" t="s">
        <v>436</v>
      </c>
      <c r="C60" s="4" t="s">
        <v>437</v>
      </c>
      <c r="D60" s="4" t="s">
        <v>438</v>
      </c>
      <c r="E60" s="4" t="s">
        <v>439</v>
      </c>
      <c r="F60" s="4" t="s">
        <v>440</v>
      </c>
      <c r="G60" s="4" t="s">
        <v>441</v>
      </c>
    </row>
    <row r="61" customFormat="false" ht="15" hidden="false" customHeight="false" outlineLevel="0" collapsed="false">
      <c r="A61" s="21" t="n">
        <v>2022</v>
      </c>
      <c r="B61" s="11" t="n">
        <v>27577496.63</v>
      </c>
      <c r="C61" s="11" t="n">
        <v>31930681.91</v>
      </c>
      <c r="D61" s="12" t="n">
        <f aca="false">C61-B61</f>
        <v>4353185.28</v>
      </c>
      <c r="E61" s="23" t="n">
        <f aca="false">D61/C61</f>
        <v>0.136332361841501</v>
      </c>
      <c r="F61" s="23" t="n">
        <f aca="false">B43</f>
        <v>0.774474421886464</v>
      </c>
      <c r="G61" s="23" t="n">
        <f aca="false">(B11+D61-B19)/(B11+D61)</f>
        <v>0.804603146021422</v>
      </c>
    </row>
    <row r="62" customFormat="false" ht="15" hidden="false" customHeight="false" outlineLevel="0" collapsed="false">
      <c r="A62" s="21" t="n">
        <v>2023</v>
      </c>
      <c r="B62" s="11" t="n">
        <v>31291719.84</v>
      </c>
      <c r="C62" s="11" t="n">
        <v>35911718.93</v>
      </c>
      <c r="D62" s="12" t="n">
        <f aca="false">C62-B62</f>
        <v>4619999.09</v>
      </c>
      <c r="E62" s="23" t="n">
        <f aca="false">D62/C62</f>
        <v>0.128648787294349</v>
      </c>
      <c r="F62" s="23" t="n">
        <f aca="false">C43</f>
        <v>0.773957755512257</v>
      </c>
      <c r="G62" s="23" t="n">
        <f aca="false">(C11+D62-C19)/(C11+D62)</f>
        <v>0.802325959107044</v>
      </c>
    </row>
    <row r="63" customFormat="false" ht="15" hidden="false" customHeight="false" outlineLevel="0" collapsed="false">
      <c r="A63" s="21" t="n">
        <v>2024</v>
      </c>
      <c r="B63" s="11" t="n">
        <v>36436058.01</v>
      </c>
      <c r="C63" s="11" t="n">
        <v>41527748.9</v>
      </c>
      <c r="D63" s="12" t="n">
        <f aca="false">C63-B63</f>
        <v>5091690.89</v>
      </c>
      <c r="E63" s="23" t="n">
        <f aca="false">D63/C63</f>
        <v>0.122609364217187</v>
      </c>
      <c r="F63" s="23" t="n">
        <f aca="false">D43</f>
        <v>0.777876065021655</v>
      </c>
      <c r="G63" s="23" t="n">
        <f aca="false">(D11+D63-D19)/(D11+D63)</f>
        <v>0.804581393854226</v>
      </c>
    </row>
    <row r="64" customFormat="false" ht="15" hidden="false" customHeight="false" outlineLevel="0" collapsed="false">
      <c r="A64" s="21" t="n">
        <v>2025</v>
      </c>
      <c r="B64" s="11" t="n">
        <v>40883933.63</v>
      </c>
      <c r="C64" s="11" t="n">
        <v>46238839.31</v>
      </c>
      <c r="D64" s="12" t="n">
        <f aca="false">C64-B64</f>
        <v>5354905.68</v>
      </c>
      <c r="E64" s="23" t="n">
        <f aca="false">D64/C64</f>
        <v>0.115809690725561</v>
      </c>
      <c r="F64" s="23" t="n">
        <f aca="false">E43</f>
        <v>0.737563955384109</v>
      </c>
      <c r="G64" s="23" t="n">
        <f aca="false">(E11+D64-E19)/(E11+D64)</f>
        <v>0.76505923681392</v>
      </c>
    </row>
    <row r="66" customFormat="false" ht="15" hidden="false" customHeight="false" outlineLevel="0" collapsed="false">
      <c r="A66" s="8" t="s">
        <v>442</v>
      </c>
    </row>
    <row r="67" customFormat="false" ht="30" hidden="false" customHeight="true" outlineLevel="0" collapsed="false">
      <c r="A67" s="4" t="s">
        <v>443</v>
      </c>
      <c r="B67" s="4" t="s">
        <v>436</v>
      </c>
      <c r="C67" s="4" t="s">
        <v>437</v>
      </c>
      <c r="D67" s="4" t="s">
        <v>438</v>
      </c>
      <c r="E67" s="4" t="s">
        <v>439</v>
      </c>
      <c r="F67" s="4" t="s">
        <v>444</v>
      </c>
    </row>
    <row r="68" customFormat="false" ht="15" hidden="false" customHeight="false" outlineLevel="0" collapsed="false">
      <c r="A68" s="9" t="s">
        <v>445</v>
      </c>
      <c r="B68" s="11" t="n">
        <v>4740760.6</v>
      </c>
      <c r="C68" s="11" t="n">
        <v>4782416.51</v>
      </c>
      <c r="D68" s="12" t="n">
        <f aca="false">C68-B68</f>
        <v>41655.9100000002</v>
      </c>
      <c r="E68" s="23" t="n">
        <f aca="false">D68/C68</f>
        <v>0.0087102221048497</v>
      </c>
      <c r="F68" s="23" t="n">
        <f aca="false">D68/SUM($D$68:$D$71)</f>
        <v>0.00777901843455068</v>
      </c>
    </row>
    <row r="69" customFormat="false" ht="15" hidden="false" customHeight="false" outlineLevel="0" collapsed="false">
      <c r="A69" s="9" t="s">
        <v>446</v>
      </c>
      <c r="B69" s="11" t="n">
        <v>10781514.19</v>
      </c>
      <c r="C69" s="11" t="n">
        <v>11123178.68</v>
      </c>
      <c r="D69" s="12" t="n">
        <f aca="false">C69-B69</f>
        <v>341664.49</v>
      </c>
      <c r="E69" s="23" t="n">
        <f aca="false">D69/C69</f>
        <v>0.0307164435481315</v>
      </c>
      <c r="F69" s="23" t="n">
        <f aca="false">D69/SUM($D$68:$D$71)</f>
        <v>0.0638040164322745</v>
      </c>
    </row>
    <row r="70" customFormat="false" ht="15" hidden="false" customHeight="false" outlineLevel="0" collapsed="false">
      <c r="A70" s="9" t="s">
        <v>447</v>
      </c>
      <c r="B70" s="11" t="n">
        <v>11356310.18</v>
      </c>
      <c r="C70" s="11" t="n">
        <v>12329577.47</v>
      </c>
      <c r="D70" s="12" t="n">
        <f aca="false">C70-B70</f>
        <v>973267.290000001</v>
      </c>
      <c r="E70" s="23" t="n">
        <f aca="false">D70/C70</f>
        <v>0.0789376028795901</v>
      </c>
      <c r="F70" s="23" t="n">
        <f aca="false">D70/SUM($D$68:$D$71)</f>
        <v>0.18175246179126</v>
      </c>
    </row>
    <row r="71" customFormat="false" ht="15" hidden="false" customHeight="false" outlineLevel="0" collapsed="false">
      <c r="A71" s="9" t="s">
        <v>448</v>
      </c>
      <c r="B71" s="11" t="n">
        <v>14005348.66</v>
      </c>
      <c r="C71" s="11" t="n">
        <v>18003666.65</v>
      </c>
      <c r="D71" s="12" t="n">
        <f aca="false">C71-B71</f>
        <v>3998317.99</v>
      </c>
      <c r="E71" s="23" t="n">
        <f aca="false">D71/C71</f>
        <v>0.222083538188594</v>
      </c>
      <c r="F71" s="23" t="n">
        <f aca="false">D71/SUM($D$68:$D$71)</f>
        <v>0.746664503341915</v>
      </c>
    </row>
    <row r="72" customFormat="false" ht="15" hidden="false" customHeight="false" outlineLevel="0" collapsed="false">
      <c r="A72" s="1" t="s">
        <v>61</v>
      </c>
      <c r="B72" s="14" t="n">
        <f aca="false">SUM(B68:B71)</f>
        <v>40883933.63</v>
      </c>
      <c r="C72" s="14" t="n">
        <f aca="false">SUM(C68:C71)</f>
        <v>46238839.31</v>
      </c>
      <c r="D72" s="14" t="n">
        <f aca="false">SUM(D68:D71)</f>
        <v>5354905.68</v>
      </c>
      <c r="E72" s="15" t="b">
        <f aca="false">ABS(D72-D64)&lt;0.01</f>
        <v>1</v>
      </c>
    </row>
    <row r="74" customFormat="false" ht="15" hidden="false" customHeight="false" outlineLevel="0" collapsed="false">
      <c r="A74" s="8" t="s">
        <v>449</v>
      </c>
    </row>
    <row r="75" customFormat="false" ht="30" hidden="false" customHeight="true" outlineLevel="0" collapsed="false">
      <c r="A75" s="4" t="s">
        <v>443</v>
      </c>
      <c r="B75" s="4" t="s">
        <v>171</v>
      </c>
      <c r="C75" s="4" t="s">
        <v>450</v>
      </c>
      <c r="D75" s="4" t="s">
        <v>451</v>
      </c>
      <c r="E75" s="4" t="s">
        <v>452</v>
      </c>
      <c r="F75" s="4" t="s">
        <v>453</v>
      </c>
      <c r="G75" s="4" t="s">
        <v>454</v>
      </c>
    </row>
    <row r="76" customFormat="false" ht="15" hidden="false" customHeight="false" outlineLevel="0" collapsed="false">
      <c r="A76" s="9" t="s">
        <v>445</v>
      </c>
      <c r="B76" s="11" t="n">
        <v>5678883.83</v>
      </c>
      <c r="C76" s="11" t="n">
        <v>1674557.02</v>
      </c>
      <c r="D76" s="11" t="n">
        <v>2808105.02</v>
      </c>
      <c r="E76" s="23" t="n">
        <f aca="false">(B76-C76)/B76</f>
        <v>0.705125677839407</v>
      </c>
      <c r="F76" s="23" t="n">
        <f aca="false">(B76-D76)/B76</f>
        <v>0.505518143342615</v>
      </c>
      <c r="G76" s="10" t="n">
        <v>443</v>
      </c>
    </row>
    <row r="77" customFormat="false" ht="15" hidden="false" customHeight="false" outlineLevel="0" collapsed="false">
      <c r="A77" s="9" t="s">
        <v>446</v>
      </c>
      <c r="B77" s="11" t="n">
        <v>12761233.07</v>
      </c>
      <c r="C77" s="11" t="n">
        <v>3674483.85</v>
      </c>
      <c r="D77" s="11" t="n">
        <v>4691364.36</v>
      </c>
      <c r="E77" s="23" t="n">
        <f aca="false">(B77-C77)/B77</f>
        <v>0.712058871596176</v>
      </c>
      <c r="F77" s="23" t="n">
        <f aca="false">(B77-D77)/B77</f>
        <v>0.632373742077575</v>
      </c>
      <c r="G77" s="10" t="n">
        <v>682</v>
      </c>
    </row>
    <row r="78" customFormat="false" ht="15" hidden="false" customHeight="false" outlineLevel="0" collapsed="false">
      <c r="A78" s="9" t="s">
        <v>447</v>
      </c>
      <c r="B78" s="11" t="n">
        <v>12785193.46</v>
      </c>
      <c r="C78" s="11" t="n">
        <v>3350022.96</v>
      </c>
      <c r="D78" s="11" t="n">
        <v>3258431.39</v>
      </c>
      <c r="E78" s="23" t="n">
        <f aca="false">(B78-C78)/B78</f>
        <v>0.737976357535696</v>
      </c>
      <c r="F78" s="23" t="n">
        <f aca="false">(B78-D78)/B78</f>
        <v>0.745140235836525</v>
      </c>
      <c r="G78" s="10" t="n">
        <v>415</v>
      </c>
    </row>
    <row r="79" customFormat="false" ht="15" hidden="false" customHeight="false" outlineLevel="0" collapsed="false">
      <c r="A79" s="9" t="s">
        <v>448</v>
      </c>
      <c r="B79" s="11" t="n">
        <v>14531108.99</v>
      </c>
      <c r="C79" s="11" t="n">
        <v>3309069.87</v>
      </c>
      <c r="D79" s="11" t="n">
        <v>1250232.94</v>
      </c>
      <c r="E79" s="23" t="n">
        <f aca="false">(B79-C79)/B79</f>
        <v>0.772276852903847</v>
      </c>
      <c r="F79" s="23" t="n">
        <f aca="false">(B79-D79)/B79</f>
        <v>0.913961629435139</v>
      </c>
      <c r="G79" s="10" t="n">
        <v>132</v>
      </c>
    </row>
    <row r="80" customFormat="false" ht="15" hidden="false" customHeight="false" outlineLevel="0" collapsed="false">
      <c r="A80" s="1" t="s">
        <v>61</v>
      </c>
      <c r="B80" s="14" t="n">
        <f aca="false">SUM(B76:B79)</f>
        <v>45756419.35</v>
      </c>
      <c r="C80" s="14" t="n">
        <f aca="false">SUM(C76:C79)</f>
        <v>12008133.7</v>
      </c>
      <c r="D80" s="15" t="b">
        <f aca="false">AND(ABS(B80-E11)&lt;0.05,ABS(C80-E19)&lt;0.05)</f>
        <v>1</v>
      </c>
    </row>
  </sheetData>
  <mergeCells count="1">
    <mergeCell ref="K24:S37"/>
  </mergeCells>
  <printOptions headings="false" gridLines="false" gridLinesSet="true" horizontalCentered="fals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&amp;C&amp;A</oddHeader>
    <oddFooter>&amp;LProject Northbridge: DRAFT&amp;CPage &amp;P of &amp;N</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24"/>
    <col collapsed="false" customWidth="true" hidden="false" outlineLevel="0" max="3" min="3" style="0" width="12"/>
    <col collapsed="false" customWidth="true" hidden="false" outlineLevel="0" max="4" min="4" style="0" width="10"/>
    <col collapsed="false" customWidth="true" hidden="false" outlineLevel="0" max="9" min="5" style="0" width="12"/>
    <col collapsed="false" customWidth="true" hidden="false" outlineLevel="0" max="13" min="10" style="0" width="10"/>
    <col collapsed="false" customWidth="true" hidden="false" outlineLevel="0" max="14" min="14" style="0" width="20"/>
  </cols>
  <sheetData>
    <row r="1" customFormat="false" ht="15" hidden="false" customHeight="false" outlineLevel="0" collapsed="false">
      <c r="A1" s="1" t="s">
        <v>455</v>
      </c>
    </row>
    <row r="2" customFormat="false" ht="15" hidden="false" customHeight="false" outlineLevel="0" collapsed="false">
      <c r="A2" s="2" t="s">
        <v>35</v>
      </c>
    </row>
    <row r="3" customFormat="false" ht="15" hidden="false" customHeight="false" outlineLevel="0" collapsed="false">
      <c r="A3" s="2" t="s">
        <v>456</v>
      </c>
    </row>
    <row r="5" customFormat="false" ht="15" hidden="false" customHeight="false" outlineLevel="0" collapsed="false">
      <c r="A5" s="8" t="s">
        <v>457</v>
      </c>
    </row>
    <row r="6" customFormat="false" ht="30" hidden="false" customHeight="true" outlineLevel="0" collapsed="false">
      <c r="A6" s="4" t="s">
        <v>357</v>
      </c>
      <c r="B6" s="4" t="s">
        <v>458</v>
      </c>
      <c r="C6" s="4" t="s">
        <v>459</v>
      </c>
      <c r="D6" s="4" t="s">
        <v>460</v>
      </c>
      <c r="E6" s="4" t="s">
        <v>336</v>
      </c>
      <c r="F6" s="4" t="s">
        <v>461</v>
      </c>
      <c r="G6" s="4" t="s">
        <v>462</v>
      </c>
      <c r="H6" s="4" t="s">
        <v>463</v>
      </c>
      <c r="I6" s="4" t="s">
        <v>464</v>
      </c>
      <c r="J6" s="4" t="s">
        <v>465</v>
      </c>
      <c r="K6" s="4" t="s">
        <v>466</v>
      </c>
      <c r="L6" s="4" t="s">
        <v>339</v>
      </c>
      <c r="M6" s="4" t="s">
        <v>340</v>
      </c>
      <c r="N6" s="4" t="s">
        <v>467</v>
      </c>
    </row>
    <row r="7" customFormat="false" ht="15" hidden="false" customHeight="false" outlineLevel="0" collapsed="false">
      <c r="A7" s="9" t="s">
        <v>468</v>
      </c>
      <c r="B7" s="9" t="s">
        <v>469</v>
      </c>
      <c r="C7" s="10" t="n">
        <v>146</v>
      </c>
      <c r="D7" s="10" t="n">
        <v>22</v>
      </c>
      <c r="E7" s="11" t="n">
        <v>327367.38</v>
      </c>
      <c r="F7" s="11" t="n">
        <v>318244.77</v>
      </c>
      <c r="G7" s="11" t="n">
        <v>294969.42</v>
      </c>
      <c r="H7" s="11" t="n">
        <v>3909763.93</v>
      </c>
      <c r="I7" s="11" t="n">
        <v>4758042.59</v>
      </c>
      <c r="J7" s="23" t="n">
        <f aca="false">I7/H7-1</f>
        <v>0.216964163358067</v>
      </c>
      <c r="K7" s="23" t="n">
        <f aca="false">D7/C7</f>
        <v>0.150684931506849</v>
      </c>
      <c r="L7" s="23" t="n">
        <f aca="false">F7/E7</f>
        <v>0.972133417813345</v>
      </c>
      <c r="M7" s="23" t="n">
        <f aca="false">G7/E7</f>
        <v>0.901034855702483</v>
      </c>
      <c r="N7" s="26" t="str">
        <f aca="false">IF(C7&lt;30,"too small to conclude",IF(OR(K7&gt;$K$30+0.05,L7&lt;$L$30-0.05),"risk",IF(OR(K7&lt;$K$30-0.05,L7&gt;$L$30+0.05),"strength","none")))</f>
        <v>none</v>
      </c>
    </row>
    <row r="8" customFormat="false" ht="15" hidden="false" customHeight="false" outlineLevel="0" collapsed="false">
      <c r="A8" s="9" t="s">
        <v>470</v>
      </c>
      <c r="B8" s="9" t="s">
        <v>469</v>
      </c>
      <c r="C8" s="10" t="n">
        <v>116</v>
      </c>
      <c r="D8" s="10" t="n">
        <v>16</v>
      </c>
      <c r="E8" s="11" t="n">
        <v>268025.37</v>
      </c>
      <c r="F8" s="11" t="n">
        <v>264773.25</v>
      </c>
      <c r="G8" s="11" t="n">
        <v>244667.29</v>
      </c>
      <c r="H8" s="11" t="n">
        <v>3195148.58</v>
      </c>
      <c r="I8" s="11" t="n">
        <v>3860238.31</v>
      </c>
      <c r="J8" s="23" t="n">
        <f aca="false">I8/H8-1</f>
        <v>0.208156119613067</v>
      </c>
      <c r="K8" s="23" t="n">
        <f aca="false">D8/C8</f>
        <v>0.137931034482759</v>
      </c>
      <c r="L8" s="23" t="n">
        <f aca="false">F8/E8</f>
        <v>0.987866372500484</v>
      </c>
      <c r="M8" s="23" t="n">
        <f aca="false">G8/E8</f>
        <v>0.912851234940931</v>
      </c>
      <c r="N8" s="26" t="str">
        <f aca="false">IF(C8&lt;30,"too small to conclude",IF(OR(K8&gt;$K$30+0.05,L8&lt;$L$30-0.05),"risk",IF(OR(K8&lt;$K$30-0.05,L8&gt;$L$30+0.05),"strength","none")))</f>
        <v>none</v>
      </c>
    </row>
    <row r="9" customFormat="false" ht="15" hidden="false" customHeight="false" outlineLevel="0" collapsed="false">
      <c r="A9" s="9" t="s">
        <v>471</v>
      </c>
      <c r="B9" s="9" t="s">
        <v>469</v>
      </c>
      <c r="C9" s="10" t="n">
        <v>109</v>
      </c>
      <c r="D9" s="10" t="n">
        <v>16</v>
      </c>
      <c r="E9" s="11" t="n">
        <v>357940.44</v>
      </c>
      <c r="F9" s="11" t="n">
        <v>329751.24</v>
      </c>
      <c r="G9" s="11" t="n">
        <v>317695.18</v>
      </c>
      <c r="H9" s="11" t="n">
        <v>4238079.86</v>
      </c>
      <c r="I9" s="11" t="n">
        <v>4686039.75</v>
      </c>
      <c r="J9" s="23" t="n">
        <f aca="false">I9/H9-1</f>
        <v>0.105698784543432</v>
      </c>
      <c r="K9" s="23" t="n">
        <f aca="false">D9/C9</f>
        <v>0.146788990825688</v>
      </c>
      <c r="L9" s="23" t="n">
        <f aca="false">F9/E9</f>
        <v>0.921246115694555</v>
      </c>
      <c r="M9" s="23" t="n">
        <f aca="false">G9/E9</f>
        <v>0.887564366853882</v>
      </c>
      <c r="N9" s="26" t="str">
        <f aca="false">IF(C9&lt;30,"too small to conclude",IF(OR(K9&gt;$K$30+0.05,L9&lt;$L$30-0.05),"risk",IF(OR(K9&lt;$K$30-0.05,L9&gt;$L$30+0.05),"strength","none")))</f>
        <v>none</v>
      </c>
    </row>
    <row r="10" customFormat="false" ht="15" hidden="false" customHeight="false" outlineLevel="0" collapsed="false">
      <c r="A10" s="9" t="s">
        <v>472</v>
      </c>
      <c r="B10" s="9" t="s">
        <v>469</v>
      </c>
      <c r="C10" s="10" t="n">
        <v>123</v>
      </c>
      <c r="D10" s="10" t="n">
        <v>13</v>
      </c>
      <c r="E10" s="11" t="n">
        <v>425751.53</v>
      </c>
      <c r="F10" s="11" t="n">
        <v>337995.38</v>
      </c>
      <c r="G10" s="11" t="n">
        <v>319961.79</v>
      </c>
      <c r="H10" s="11" t="n">
        <v>5078933.56</v>
      </c>
      <c r="I10" s="11" t="n">
        <v>5434927.77</v>
      </c>
      <c r="J10" s="23" t="n">
        <f aca="false">I10/H10-1</f>
        <v>0.0700923148126396</v>
      </c>
      <c r="K10" s="23" t="n">
        <f aca="false">D10/C10</f>
        <v>0.105691056910569</v>
      </c>
      <c r="L10" s="23" t="n">
        <f aca="false">F10/E10</f>
        <v>0.793879425401008</v>
      </c>
      <c r="M10" s="23" t="n">
        <f aca="false">G10/E10</f>
        <v>0.75152234919743</v>
      </c>
      <c r="N10" s="26" t="str">
        <f aca="false">IF(C10&lt;30,"too small to conclude",IF(OR(K10&gt;$K$30+0.05,L10&lt;$L$30-0.05),"risk",IF(OR(K10&lt;$K$30-0.05,L10&gt;$L$30+0.05),"strength","none")))</f>
        <v>risk</v>
      </c>
    </row>
    <row r="11" customFormat="false" ht="15" hidden="false" customHeight="false" outlineLevel="0" collapsed="false">
      <c r="A11" s="9" t="s">
        <v>473</v>
      </c>
      <c r="B11" s="9" t="s">
        <v>469</v>
      </c>
      <c r="C11" s="10" t="n">
        <v>122</v>
      </c>
      <c r="D11" s="10" t="n">
        <v>11</v>
      </c>
      <c r="E11" s="11" t="n">
        <v>219929.67</v>
      </c>
      <c r="F11" s="11" t="n">
        <v>219323.31</v>
      </c>
      <c r="G11" s="11" t="n">
        <v>202355.02</v>
      </c>
      <c r="H11" s="11" t="n">
        <v>2548317.66</v>
      </c>
      <c r="I11" s="11" t="n">
        <v>3876245.79</v>
      </c>
      <c r="J11" s="23" t="n">
        <f aca="false">I11/H11-1</f>
        <v>0.521099920486365</v>
      </c>
      <c r="K11" s="23" t="n">
        <f aca="false">D11/C11</f>
        <v>0.0901639344262295</v>
      </c>
      <c r="L11" s="23" t="n">
        <f aca="false">F11/E11</f>
        <v>0.997242936798841</v>
      </c>
      <c r="M11" s="23" t="n">
        <f aca="false">G11/E11</f>
        <v>0.920089681396785</v>
      </c>
      <c r="N11" s="26" t="str">
        <f aca="false">IF(C11&lt;30,"too small to conclude",IF(OR(K11&gt;$K$30+0.05,L11&lt;$L$30-0.05),"risk",IF(OR(K11&lt;$K$30-0.05,L11&gt;$L$30+0.05),"strength","none")))</f>
        <v>none</v>
      </c>
    </row>
    <row r="12" customFormat="false" ht="15" hidden="false" customHeight="false" outlineLevel="0" collapsed="false">
      <c r="A12" s="9" t="s">
        <v>474</v>
      </c>
      <c r="B12" s="9" t="s">
        <v>469</v>
      </c>
      <c r="C12" s="10" t="n">
        <v>122</v>
      </c>
      <c r="D12" s="10" t="n">
        <v>12</v>
      </c>
      <c r="E12" s="11" t="n">
        <v>204702.24</v>
      </c>
      <c r="F12" s="11" t="n">
        <v>199780.25</v>
      </c>
      <c r="G12" s="11" t="n">
        <v>184551.28</v>
      </c>
      <c r="H12" s="11" t="n">
        <v>2484343.46</v>
      </c>
      <c r="I12" s="11" t="n">
        <v>3286180.34</v>
      </c>
      <c r="J12" s="23" t="n">
        <f aca="false">I12/H12-1</f>
        <v>0.322756049197803</v>
      </c>
      <c r="K12" s="23" t="n">
        <f aca="false">D12/C12</f>
        <v>0.0983606557377049</v>
      </c>
      <c r="L12" s="23" t="n">
        <f aca="false">F12/E12</f>
        <v>0.97595536814839</v>
      </c>
      <c r="M12" s="23" t="n">
        <f aca="false">G12/E12</f>
        <v>0.901559650739533</v>
      </c>
      <c r="N12" s="26" t="str">
        <f aca="false">IF(C12&lt;30,"too small to conclude",IF(OR(K12&gt;$K$30+0.05,L12&lt;$L$30-0.05),"risk",IF(OR(K12&lt;$K$30-0.05,L12&gt;$L$30+0.05),"strength","none")))</f>
        <v>none</v>
      </c>
    </row>
    <row r="13" customFormat="false" ht="15" hidden="false" customHeight="false" outlineLevel="0" collapsed="false">
      <c r="A13" s="9" t="s">
        <v>475</v>
      </c>
      <c r="B13" s="9" t="s">
        <v>469</v>
      </c>
      <c r="C13" s="10" t="n">
        <v>132</v>
      </c>
      <c r="D13" s="10" t="n">
        <v>20</v>
      </c>
      <c r="E13" s="11" t="n">
        <v>224792.53</v>
      </c>
      <c r="F13" s="11" t="n">
        <v>224252.01</v>
      </c>
      <c r="G13" s="11" t="n">
        <v>204790.38</v>
      </c>
      <c r="H13" s="11" t="n">
        <v>2669583.46</v>
      </c>
      <c r="I13" s="11" t="n">
        <v>3744853.4</v>
      </c>
      <c r="J13" s="23" t="n">
        <f aca="false">I13/H13-1</f>
        <v>0.40278566155036</v>
      </c>
      <c r="K13" s="23" t="n">
        <f aca="false">D13/C13</f>
        <v>0.151515151515152</v>
      </c>
      <c r="L13" s="23" t="n">
        <f aca="false">F13/E13</f>
        <v>0.997595471700061</v>
      </c>
      <c r="M13" s="23" t="n">
        <f aca="false">G13/E13</f>
        <v>0.911019507632215</v>
      </c>
      <c r="N13" s="26" t="str">
        <f aca="false">IF(C13&lt;30,"too small to conclude",IF(OR(K13&gt;$K$30+0.05,L13&lt;$L$30-0.05),"risk",IF(OR(K13&lt;$K$30-0.05,L13&gt;$L$30+0.05),"strength","none")))</f>
        <v>none</v>
      </c>
    </row>
    <row r="14" customFormat="false" ht="15" hidden="false" customHeight="false" outlineLevel="0" collapsed="false">
      <c r="A14" s="9" t="s">
        <v>476</v>
      </c>
      <c r="B14" s="9" t="s">
        <v>469</v>
      </c>
      <c r="C14" s="10" t="n">
        <v>125</v>
      </c>
      <c r="D14" s="10" t="n">
        <v>15</v>
      </c>
      <c r="E14" s="11" t="n">
        <v>209867.94</v>
      </c>
      <c r="F14" s="11" t="n">
        <v>199196.26</v>
      </c>
      <c r="G14" s="11" t="n">
        <v>184441.36</v>
      </c>
      <c r="H14" s="11" t="n">
        <v>2519301.21</v>
      </c>
      <c r="I14" s="11" t="n">
        <v>3160364.25</v>
      </c>
      <c r="J14" s="23" t="n">
        <f aca="false">I14/H14-1</f>
        <v>0.254460656572304</v>
      </c>
      <c r="K14" s="23" t="n">
        <f aca="false">D14/C14</f>
        <v>0.12</v>
      </c>
      <c r="L14" s="23" t="n">
        <f aca="false">F14/E14</f>
        <v>0.949150499118636</v>
      </c>
      <c r="M14" s="23" t="n">
        <f aca="false">G14/E14</f>
        <v>0.878844858342823</v>
      </c>
      <c r="N14" s="26" t="str">
        <f aca="false">IF(C14&lt;30,"too small to conclude",IF(OR(K14&gt;$K$30+0.05,L14&lt;$L$30-0.05),"risk",IF(OR(K14&lt;$K$30-0.05,L14&gt;$L$30+0.05),"strength","none")))</f>
        <v>none</v>
      </c>
    </row>
    <row r="15" customFormat="false" ht="15" hidden="false" customHeight="false" outlineLevel="0" collapsed="false">
      <c r="A15" s="9" t="s">
        <v>477</v>
      </c>
      <c r="B15" s="9" t="s">
        <v>469</v>
      </c>
      <c r="C15" s="10" t="n">
        <v>135</v>
      </c>
      <c r="D15" s="10" t="n">
        <v>16</v>
      </c>
      <c r="E15" s="11" t="n">
        <v>405055.35</v>
      </c>
      <c r="F15" s="11" t="n">
        <v>410926.89</v>
      </c>
      <c r="G15" s="11" t="n">
        <v>380675.12</v>
      </c>
      <c r="H15" s="11" t="n">
        <v>4788080.71</v>
      </c>
      <c r="I15" s="11" t="n">
        <v>5833270.97</v>
      </c>
      <c r="J15" s="23" t="n">
        <f aca="false">I15/H15-1</f>
        <v>0.218290025441112</v>
      </c>
      <c r="K15" s="23" t="n">
        <f aca="false">D15/C15</f>
        <v>0.118518518518519</v>
      </c>
      <c r="L15" s="23" t="n">
        <f aca="false">F15/E15</f>
        <v>1.01449564855766</v>
      </c>
      <c r="M15" s="23" t="n">
        <f aca="false">G15/E15</f>
        <v>0.939810127183853</v>
      </c>
      <c r="N15" s="26" t="str">
        <f aca="false">IF(C15&lt;30,"too small to conclude",IF(OR(K15&gt;$K$30+0.05,L15&lt;$L$30-0.05),"risk",IF(OR(K15&lt;$K$30-0.05,L15&gt;$L$30+0.05),"strength","none")))</f>
        <v>strength</v>
      </c>
    </row>
    <row r="16" customFormat="false" ht="15" hidden="false" customHeight="false" outlineLevel="0" collapsed="false">
      <c r="A16" s="9" t="s">
        <v>478</v>
      </c>
      <c r="B16" s="9" t="s">
        <v>469</v>
      </c>
      <c r="C16" s="10" t="n">
        <v>132</v>
      </c>
      <c r="D16" s="10" t="n">
        <v>22</v>
      </c>
      <c r="E16" s="11" t="n">
        <v>331559.06</v>
      </c>
      <c r="F16" s="11" t="n">
        <v>333514.53</v>
      </c>
      <c r="G16" s="11" t="n">
        <v>307345.03</v>
      </c>
      <c r="H16" s="11" t="n">
        <v>3998957.54</v>
      </c>
      <c r="I16" s="11" t="n">
        <v>5010330.59</v>
      </c>
      <c r="J16" s="23" t="n">
        <f aca="false">I16/H16-1</f>
        <v>0.252909174424493</v>
      </c>
      <c r="K16" s="23" t="n">
        <f aca="false">D16/C16</f>
        <v>0.166666666666667</v>
      </c>
      <c r="L16" s="23" t="n">
        <f aca="false">F16/E16</f>
        <v>1.00589780294346</v>
      </c>
      <c r="M16" s="23" t="n">
        <f aca="false">G16/E16</f>
        <v>0.926969180091173</v>
      </c>
      <c r="N16" s="26" t="str">
        <f aca="false">IF(C16&lt;30,"too small to conclude",IF(OR(K16&gt;$K$30+0.05,L16&lt;$L$30-0.05),"risk",IF(OR(K16&lt;$K$30-0.05,L16&gt;$L$30+0.05),"strength","none")))</f>
        <v>strength</v>
      </c>
    </row>
    <row r="17" customFormat="false" ht="15" hidden="false" customHeight="false" outlineLevel="0" collapsed="false">
      <c r="A17" s="9" t="s">
        <v>479</v>
      </c>
      <c r="B17" s="9" t="s">
        <v>469</v>
      </c>
      <c r="C17" s="10" t="n">
        <v>81</v>
      </c>
      <c r="D17" s="10" t="n">
        <v>8</v>
      </c>
      <c r="E17" s="11" t="n">
        <v>149744.83</v>
      </c>
      <c r="F17" s="11" t="n">
        <v>144599.13</v>
      </c>
      <c r="G17" s="11" t="n">
        <v>132346.91</v>
      </c>
      <c r="H17" s="11" t="n">
        <v>1828388.54</v>
      </c>
      <c r="I17" s="11" t="n">
        <v>2105925.59</v>
      </c>
      <c r="J17" s="23" t="n">
        <f aca="false">I17/H17-1</f>
        <v>0.151793256153312</v>
      </c>
      <c r="K17" s="23" t="n">
        <f aca="false">D17/C17</f>
        <v>0.0987654320987654</v>
      </c>
      <c r="L17" s="23" t="n">
        <f aca="false">F17/E17</f>
        <v>0.965636877079496</v>
      </c>
      <c r="M17" s="23" t="n">
        <f aca="false">G17/E17</f>
        <v>0.883816222570088</v>
      </c>
      <c r="N17" s="26" t="str">
        <f aca="false">IF(C17&lt;30,"too small to conclude",IF(OR(K17&gt;$K$30+0.05,L17&lt;$L$30-0.05),"risk",IF(OR(K17&lt;$K$30-0.05,L17&gt;$L$30+0.05),"strength","none")))</f>
        <v>none</v>
      </c>
    </row>
    <row r="18" customFormat="false" ht="15" hidden="false" customHeight="false" outlineLevel="0" collapsed="false">
      <c r="A18" s="9" t="s">
        <v>480</v>
      </c>
      <c r="B18" s="9" t="s">
        <v>481</v>
      </c>
      <c r="C18" s="10" t="n">
        <v>95</v>
      </c>
      <c r="D18" s="10" t="n">
        <v>11</v>
      </c>
      <c r="E18" s="11" t="n">
        <v>233192.44</v>
      </c>
      <c r="F18" s="11" t="n">
        <v>237807.55</v>
      </c>
      <c r="G18" s="11" t="n">
        <v>219131.2</v>
      </c>
      <c r="H18" s="11" t="n">
        <v>2791258.41</v>
      </c>
      <c r="I18" s="11" t="n">
        <v>3389710.63</v>
      </c>
      <c r="J18" s="23" t="n">
        <f aca="false">I18/H18-1</f>
        <v>0.214402298925809</v>
      </c>
      <c r="K18" s="23" t="n">
        <f aca="false">D18/C18</f>
        <v>0.115789473684211</v>
      </c>
      <c r="L18" s="23" t="n">
        <f aca="false">F18/E18</f>
        <v>1.01979099322431</v>
      </c>
      <c r="M18" s="23" t="n">
        <f aca="false">G18/E18</f>
        <v>0.939701132678229</v>
      </c>
      <c r="N18" s="26" t="str">
        <f aca="false">IF(C18&lt;30,"too small to conclude",IF(OR(K18&gt;$K$30+0.05,L18&lt;$L$30-0.05),"risk",IF(OR(K18&lt;$K$30-0.05,L18&gt;$L$30+0.05),"strength","none")))</f>
        <v>strength</v>
      </c>
    </row>
    <row r="19" customFormat="false" ht="15" hidden="false" customHeight="false" outlineLevel="0" collapsed="false">
      <c r="A19" s="9" t="s">
        <v>482</v>
      </c>
      <c r="B19" s="9" t="s">
        <v>481</v>
      </c>
      <c r="C19" s="10" t="n">
        <v>1248</v>
      </c>
      <c r="D19" s="10" t="n">
        <v>160</v>
      </c>
      <c r="E19" s="11" t="n">
        <v>2891543.9</v>
      </c>
      <c r="F19" s="11" t="n">
        <v>2744549.47</v>
      </c>
      <c r="G19" s="11" t="n">
        <v>2554667.58</v>
      </c>
      <c r="H19" s="11" t="n">
        <v>34467640.1</v>
      </c>
      <c r="I19" s="11" t="n">
        <v>42366708.72</v>
      </c>
      <c r="J19" s="23" t="n">
        <f aca="false">I19/H19-1</f>
        <v>0.229173468130764</v>
      </c>
      <c r="K19" s="23" t="n">
        <f aca="false">D19/C19</f>
        <v>0.128205128205128</v>
      </c>
      <c r="L19" s="23" t="n">
        <f aca="false">F19/E19</f>
        <v>0.949164033096644</v>
      </c>
      <c r="M19" s="23" t="n">
        <f aca="false">G19/E19</f>
        <v>0.883496038223732</v>
      </c>
      <c r="N19" s="26" t="str">
        <f aca="false">IF(C19&lt;30,"too small to conclude",IF(OR(K19&gt;$K$30+0.05,L19&lt;$L$30-0.05),"risk",IF(OR(K19&lt;$K$30-0.05,L19&gt;$L$30+0.05),"strength","none")))</f>
        <v>none</v>
      </c>
    </row>
    <row r="20" customFormat="false" ht="15" hidden="false" customHeight="false" outlineLevel="0" collapsed="false">
      <c r="A20" s="9" t="s">
        <v>483</v>
      </c>
      <c r="B20" s="9" t="s">
        <v>484</v>
      </c>
      <c r="C20" s="10" t="n">
        <v>384</v>
      </c>
      <c r="D20" s="10" t="n">
        <v>33</v>
      </c>
      <c r="E20" s="11" t="n">
        <v>1004264.57</v>
      </c>
      <c r="F20" s="11" t="n">
        <v>1040537.82</v>
      </c>
      <c r="G20" s="11" t="n">
        <v>959580.1</v>
      </c>
      <c r="H20" s="11" t="n">
        <v>11844553.2</v>
      </c>
      <c r="I20" s="11" t="n">
        <v>15074613.21</v>
      </c>
      <c r="J20" s="23" t="n">
        <f aca="false">I20/H20-1</f>
        <v>0.272704251098302</v>
      </c>
      <c r="K20" s="23" t="n">
        <f aca="false">D20/C20</f>
        <v>0.0859375</v>
      </c>
      <c r="L20" s="23" t="n">
        <f aca="false">F20/E20</f>
        <v>1.03611921707046</v>
      </c>
      <c r="M20" s="23" t="n">
        <f aca="false">G20/E20</f>
        <v>0.955505280844469</v>
      </c>
      <c r="N20" s="26" t="str">
        <f aca="false">IF(C20&lt;30,"too small to conclude",IF(OR(K20&gt;$K$30+0.05,L20&lt;$L$30-0.05),"risk",IF(OR(K20&lt;$K$30-0.05,L20&gt;$L$30+0.05),"strength","none")))</f>
        <v>strength</v>
      </c>
    </row>
    <row r="21" customFormat="false" ht="15" hidden="false" customHeight="false" outlineLevel="0" collapsed="false">
      <c r="A21" s="9" t="s">
        <v>485</v>
      </c>
      <c r="B21" s="9" t="s">
        <v>484</v>
      </c>
      <c r="C21" s="10" t="n">
        <v>351</v>
      </c>
      <c r="D21" s="10" t="n">
        <v>33</v>
      </c>
      <c r="E21" s="11" t="n">
        <v>1073235.89</v>
      </c>
      <c r="F21" s="11" t="n">
        <v>980215.68</v>
      </c>
      <c r="G21" s="11" t="n">
        <v>925325.02</v>
      </c>
      <c r="H21" s="11" t="n">
        <v>12801047.73</v>
      </c>
      <c r="I21" s="11" t="n">
        <v>14959616.97</v>
      </c>
      <c r="J21" s="23" t="n">
        <f aca="false">I21/H21-1</f>
        <v>0.168624419307591</v>
      </c>
      <c r="K21" s="23" t="n">
        <f aca="false">D21/C21</f>
        <v>0.094017094017094</v>
      </c>
      <c r="L21" s="23" t="n">
        <f aca="false">F21/E21</f>
        <v>0.913327339435136</v>
      </c>
      <c r="M21" s="23" t="n">
        <f aca="false">G21/E21</f>
        <v>0.862182329739271</v>
      </c>
      <c r="N21" s="26" t="str">
        <f aca="false">IF(C21&lt;30,"too small to conclude",IF(OR(K21&gt;$K$30+0.05,L21&lt;$L$30-0.05),"risk",IF(OR(K21&lt;$K$30-0.05,L21&gt;$L$30+0.05),"strength","none")))</f>
        <v>none</v>
      </c>
    </row>
    <row r="22" customFormat="false" ht="15" hidden="false" customHeight="false" outlineLevel="0" collapsed="false">
      <c r="A22" s="9" t="s">
        <v>486</v>
      </c>
      <c r="B22" s="9" t="s">
        <v>484</v>
      </c>
      <c r="C22" s="10" t="n">
        <v>221</v>
      </c>
      <c r="D22" s="10" t="n">
        <v>43</v>
      </c>
      <c r="E22" s="11" t="n">
        <v>402322.6</v>
      </c>
      <c r="F22" s="11" t="n">
        <v>369869.04</v>
      </c>
      <c r="G22" s="11" t="n">
        <v>340210.18</v>
      </c>
      <c r="H22" s="11" t="n">
        <v>4818103.04</v>
      </c>
      <c r="I22" s="11" t="n">
        <v>6339511.82</v>
      </c>
      <c r="J22" s="23" t="n">
        <f aca="false">I22/H22-1</f>
        <v>0.3157692493019</v>
      </c>
      <c r="K22" s="23" t="n">
        <f aca="false">D22/C22</f>
        <v>0.194570135746606</v>
      </c>
      <c r="L22" s="23" t="n">
        <f aca="false">F22/E22</f>
        <v>0.919334484316814</v>
      </c>
      <c r="M22" s="23" t="n">
        <f aca="false">G22/E22</f>
        <v>0.845615384271229</v>
      </c>
      <c r="N22" s="26" t="str">
        <f aca="false">IF(C22&lt;30,"too small to conclude",IF(OR(K22&gt;$K$30+0.05,L22&lt;$L$30-0.05),"risk",IF(OR(K22&lt;$K$30-0.05,L22&gt;$L$30+0.05),"strength","none")))</f>
        <v>risk</v>
      </c>
    </row>
    <row r="23" customFormat="false" ht="15" hidden="false" customHeight="false" outlineLevel="0" collapsed="false">
      <c r="A23" s="9" t="s">
        <v>487</v>
      </c>
      <c r="B23" s="9" t="s">
        <v>484</v>
      </c>
      <c r="C23" s="10" t="n">
        <v>223</v>
      </c>
      <c r="D23" s="10" t="n">
        <v>44</v>
      </c>
      <c r="E23" s="11" t="n">
        <v>356936.05</v>
      </c>
      <c r="F23" s="11" t="n">
        <v>309699.27</v>
      </c>
      <c r="G23" s="11" t="n">
        <v>287627.72</v>
      </c>
      <c r="H23" s="11" t="n">
        <v>4361213.16</v>
      </c>
      <c r="I23" s="11" t="n">
        <v>5149402.17</v>
      </c>
      <c r="J23" s="23" t="n">
        <f aca="false">I23/H23-1</f>
        <v>0.180727008995818</v>
      </c>
      <c r="K23" s="23" t="n">
        <f aca="false">D23/C23</f>
        <v>0.197309417040359</v>
      </c>
      <c r="L23" s="23" t="n">
        <f aca="false">F23/E23</f>
        <v>0.867660383421624</v>
      </c>
      <c r="M23" s="23" t="n">
        <f aca="false">G23/E23</f>
        <v>0.805824236582435</v>
      </c>
      <c r="N23" s="26" t="str">
        <f aca="false">IF(C23&lt;30,"too small to conclude",IF(OR(K23&gt;$K$30+0.05,L23&lt;$L$30-0.05),"risk",IF(OR(K23&lt;$K$30-0.05,L23&gt;$L$30+0.05),"strength","none")))</f>
        <v>risk</v>
      </c>
    </row>
    <row r="24" customFormat="false" ht="15" hidden="false" customHeight="true" outlineLevel="0" collapsed="false">
      <c r="A24" s="9" t="s">
        <v>488</v>
      </c>
      <c r="B24" s="9" t="s">
        <v>484</v>
      </c>
      <c r="C24" s="10" t="n">
        <v>164</v>
      </c>
      <c r="D24" s="10" t="n">
        <v>18</v>
      </c>
      <c r="E24" s="11" t="n">
        <v>287977.23</v>
      </c>
      <c r="F24" s="11" t="n">
        <v>282035.21</v>
      </c>
      <c r="G24" s="11" t="n">
        <v>261055.76</v>
      </c>
      <c r="H24" s="11" t="n">
        <v>3433981.38</v>
      </c>
      <c r="I24" s="11" t="n">
        <v>4233275.18</v>
      </c>
      <c r="J24" s="23" t="n">
        <f aca="false">I24/H24-1</f>
        <v>0.232760085612345</v>
      </c>
      <c r="K24" s="23" t="n">
        <f aca="false">D24/C24</f>
        <v>0.109756097560976</v>
      </c>
      <c r="L24" s="23" t="n">
        <f aca="false">F24/E24</f>
        <v>0.979366354763535</v>
      </c>
      <c r="M24" s="23" t="n">
        <f aca="false">G24/E24</f>
        <v>0.906515282475632</v>
      </c>
      <c r="N24" s="26" t="str">
        <f aca="false">IF(C24&lt;30,"too small to conclude",IF(OR(K24&gt;$K$30+0.05,L24&lt;$L$30-0.05),"risk",IF(OR(K24&lt;$K$30-0.05,L24&gt;$L$30+0.05),"strength","none")))</f>
        <v>none</v>
      </c>
      <c r="P24" s="22" t="s">
        <v>489</v>
      </c>
      <c r="Q24" s="22"/>
      <c r="R24" s="22"/>
      <c r="S24" s="22"/>
      <c r="T24" s="22"/>
      <c r="U24" s="22"/>
      <c r="V24" s="22"/>
      <c r="W24" s="22"/>
      <c r="X24" s="22"/>
    </row>
    <row r="25" customFormat="false" ht="15" hidden="false" customHeight="false" outlineLevel="0" collapsed="false">
      <c r="A25" s="9" t="s">
        <v>448</v>
      </c>
      <c r="B25" s="9" t="s">
        <v>490</v>
      </c>
      <c r="C25" s="10" t="n">
        <v>117</v>
      </c>
      <c r="D25" s="10" t="n">
        <v>5</v>
      </c>
      <c r="E25" s="11" t="n">
        <v>1135206.75</v>
      </c>
      <c r="F25" s="11" t="n">
        <v>1075853.03</v>
      </c>
      <c r="G25" s="11" t="n">
        <v>1020918.75</v>
      </c>
      <c r="H25" s="11" t="n">
        <v>13628046.74</v>
      </c>
      <c r="I25" s="11" t="n">
        <v>14531108.99</v>
      </c>
      <c r="J25" s="23" t="n">
        <f aca="false">I25/H25-1</f>
        <v>0.0662649803914599</v>
      </c>
      <c r="K25" s="23" t="n">
        <f aca="false">D25/C25</f>
        <v>0.0427350427350427</v>
      </c>
      <c r="L25" s="23" t="n">
        <f aca="false">F25/E25</f>
        <v>0.947715497639527</v>
      </c>
      <c r="M25" s="23" t="n">
        <f aca="false">G25/E25</f>
        <v>0.899324065858488</v>
      </c>
      <c r="N25" s="26" t="str">
        <f aca="false">IF(C25&lt;30,"too small to conclude",IF(OR(K25&gt;$K$30+0.05,L25&lt;$L$30-0.05),"risk",IF(OR(K25&lt;$K$30-0.05,L25&gt;$L$30+0.05),"strength","none")))</f>
        <v>strength</v>
      </c>
      <c r="P25" s="22"/>
      <c r="Q25" s="22"/>
      <c r="R25" s="22"/>
      <c r="S25" s="22"/>
      <c r="T25" s="22"/>
      <c r="U25" s="22"/>
      <c r="V25" s="22"/>
      <c r="W25" s="22"/>
      <c r="X25" s="22"/>
    </row>
    <row r="26" customFormat="false" ht="15" hidden="false" customHeight="false" outlineLevel="0" collapsed="false">
      <c r="A26" s="9" t="s">
        <v>447</v>
      </c>
      <c r="B26" s="9" t="s">
        <v>490</v>
      </c>
      <c r="C26" s="10" t="n">
        <v>330</v>
      </c>
      <c r="D26" s="10" t="n">
        <v>34</v>
      </c>
      <c r="E26" s="11" t="n">
        <v>829786.84</v>
      </c>
      <c r="F26" s="11" t="n">
        <v>807264.26</v>
      </c>
      <c r="G26" s="11" t="n">
        <v>748682.86</v>
      </c>
      <c r="H26" s="11" t="n">
        <v>9792742.76</v>
      </c>
      <c r="I26" s="11" t="n">
        <v>12785193.46</v>
      </c>
      <c r="J26" s="23" t="n">
        <f aca="false">I26/H26-1</f>
        <v>0.305578403654504</v>
      </c>
      <c r="K26" s="23" t="n">
        <f aca="false">D26/C26</f>
        <v>0.103030303030303</v>
      </c>
      <c r="L26" s="23" t="n">
        <f aca="false">F26/E26</f>
        <v>0.972857390700484</v>
      </c>
      <c r="M26" s="23" t="n">
        <f aca="false">G26/E26</f>
        <v>0.902259259739525</v>
      </c>
      <c r="N26" s="26" t="str">
        <f aca="false">IF(C26&lt;30,"too small to conclude",IF(OR(K26&gt;$K$30+0.05,L26&lt;$L$30-0.05),"risk",IF(OR(K26&lt;$K$30-0.05,L26&gt;$L$30+0.05),"strength","none")))</f>
        <v>none</v>
      </c>
      <c r="P26" s="22"/>
      <c r="Q26" s="22"/>
      <c r="R26" s="22"/>
      <c r="S26" s="22"/>
      <c r="T26" s="22"/>
      <c r="U26" s="22"/>
      <c r="V26" s="22"/>
      <c r="W26" s="22"/>
      <c r="X26" s="22"/>
    </row>
    <row r="27" customFormat="false" ht="15" hidden="false" customHeight="false" outlineLevel="0" collapsed="false">
      <c r="A27" s="9" t="s">
        <v>445</v>
      </c>
      <c r="B27" s="9" t="s">
        <v>490</v>
      </c>
      <c r="C27" s="10" t="n">
        <v>353</v>
      </c>
      <c r="D27" s="10" t="n">
        <v>59</v>
      </c>
      <c r="E27" s="11" t="n">
        <v>364485.24</v>
      </c>
      <c r="F27" s="11" t="n">
        <v>338327.05</v>
      </c>
      <c r="G27" s="11" t="n">
        <v>308834.34</v>
      </c>
      <c r="H27" s="11" t="n">
        <v>4516903.83</v>
      </c>
      <c r="I27" s="11" t="n">
        <v>5678883.83</v>
      </c>
      <c r="J27" s="23" t="n">
        <f aca="false">I27/H27-1</f>
        <v>0.257251436765702</v>
      </c>
      <c r="K27" s="23" t="n">
        <f aca="false">D27/C27</f>
        <v>0.1671388101983</v>
      </c>
      <c r="L27" s="23" t="n">
        <f aca="false">F27/E27</f>
        <v>0.928232512241099</v>
      </c>
      <c r="M27" s="23" t="n">
        <f aca="false">G27/E27</f>
        <v>0.847316451003613</v>
      </c>
      <c r="N27" s="26" t="str">
        <f aca="false">IF(C27&lt;30,"too small to conclude",IF(OR(K27&gt;$K$30+0.05,L27&lt;$L$30-0.05),"risk",IF(OR(K27&lt;$K$30-0.05,L27&gt;$L$30+0.05),"strength","none")))</f>
        <v>none</v>
      </c>
      <c r="P27" s="22"/>
      <c r="Q27" s="22"/>
      <c r="R27" s="22"/>
      <c r="S27" s="22"/>
      <c r="T27" s="22"/>
      <c r="U27" s="22"/>
      <c r="V27" s="22"/>
      <c r="W27" s="22"/>
      <c r="X27" s="22"/>
    </row>
    <row r="28" customFormat="false" ht="15" hidden="false" customHeight="false" outlineLevel="0" collapsed="false">
      <c r="A28" s="9" t="s">
        <v>446</v>
      </c>
      <c r="B28" s="9" t="s">
        <v>490</v>
      </c>
      <c r="C28" s="10" t="n">
        <v>543</v>
      </c>
      <c r="D28" s="10" t="n">
        <v>73</v>
      </c>
      <c r="E28" s="11" t="n">
        <v>795257.51</v>
      </c>
      <c r="F28" s="11" t="n">
        <v>760912.68</v>
      </c>
      <c r="G28" s="11" t="n">
        <v>695362.83</v>
      </c>
      <c r="H28" s="11" t="n">
        <v>9321205.18</v>
      </c>
      <c r="I28" s="11" t="n">
        <v>12761233.07</v>
      </c>
      <c r="J28" s="23" t="n">
        <f aca="false">I28/H28-1</f>
        <v>0.369053982137533</v>
      </c>
      <c r="K28" s="23" t="n">
        <f aca="false">D28/C28</f>
        <v>0.134438305709024</v>
      </c>
      <c r="L28" s="23" t="n">
        <f aca="false">F28/E28</f>
        <v>0.956812944778101</v>
      </c>
      <c r="M28" s="23" t="n">
        <f aca="false">G28/E28</f>
        <v>0.874387002016491</v>
      </c>
      <c r="N28" s="26" t="str">
        <f aca="false">IF(C28&lt;30,"too small to conclude",IF(OR(K28&gt;$K$30+0.05,L28&lt;$L$30-0.05),"risk",IF(OR(K28&lt;$K$30-0.05,L28&gt;$L$30+0.05),"strength","none")))</f>
        <v>none</v>
      </c>
      <c r="P28" s="22"/>
      <c r="Q28" s="22"/>
      <c r="R28" s="22"/>
      <c r="S28" s="22"/>
      <c r="T28" s="22"/>
      <c r="U28" s="22"/>
      <c r="V28" s="22"/>
      <c r="W28" s="22"/>
      <c r="X28" s="22"/>
    </row>
    <row r="29" customFormat="false" ht="15" hidden="false" customHeight="false" outlineLevel="0" collapsed="false">
      <c r="P29" s="22"/>
      <c r="Q29" s="22"/>
      <c r="R29" s="22"/>
      <c r="S29" s="22"/>
      <c r="T29" s="22"/>
      <c r="U29" s="22"/>
      <c r="V29" s="22"/>
      <c r="W29" s="22"/>
      <c r="X29" s="22"/>
    </row>
    <row r="30" customFormat="false" ht="15" hidden="false" customHeight="false" outlineLevel="0" collapsed="false">
      <c r="A30" s="1" t="s">
        <v>491</v>
      </c>
      <c r="C30" s="20" t="n">
        <f aca="false">SUMIFS(C$7:C$28,$B$7:$B$28,"industry")</f>
        <v>1343</v>
      </c>
      <c r="D30" s="20" t="n">
        <f aca="false">SUMIFS(D$7:D$28,$B$7:$B$28,"industry")</f>
        <v>171</v>
      </c>
      <c r="E30" s="14" t="n">
        <f aca="false">SUMIFS(E$7:E$28,$B$7:$B$28,"industry")</f>
        <v>3124736.34</v>
      </c>
      <c r="F30" s="14" t="n">
        <f aca="false">SUMIFS(F$7:F$28,$B$7:$B$28,"industry")</f>
        <v>2982357.02</v>
      </c>
      <c r="G30" s="14" t="n">
        <f aca="false">SUMIFS(G$7:G$28,$B$7:$B$28,"industry")</f>
        <v>2773798.78</v>
      </c>
      <c r="H30" s="14" t="n">
        <f aca="false">SUMIFS(H$7:H$28,$B$7:$B$28,"industry")</f>
        <v>37258898.51</v>
      </c>
      <c r="I30" s="14" t="n">
        <f aca="false">SUMIFS(I$7:I$28,$B$7:$B$28,"industry")</f>
        <v>45756419.35</v>
      </c>
      <c r="J30" s="30" t="n">
        <f aca="false">I30/H30-1</f>
        <v>0.228066882807052</v>
      </c>
      <c r="K30" s="30" t="n">
        <f aca="false">D30/C30</f>
        <v>0.127326880119136</v>
      </c>
      <c r="L30" s="30" t="n">
        <f aca="false">F30/E30</f>
        <v>0.954434773207137</v>
      </c>
      <c r="M30" s="30" t="n">
        <f aca="false">G30/E30</f>
        <v>0.887690505113145</v>
      </c>
      <c r="P30" s="22"/>
      <c r="Q30" s="22"/>
      <c r="R30" s="22"/>
      <c r="S30" s="22"/>
      <c r="T30" s="22"/>
      <c r="U30" s="22"/>
      <c r="V30" s="22"/>
      <c r="W30" s="22"/>
      <c r="X30" s="22"/>
    </row>
    <row r="31" customFormat="false" ht="15" hidden="false" customHeight="false" outlineLevel="0" collapsed="false">
      <c r="A31" s="2" t="s">
        <v>492</v>
      </c>
      <c r="C31" s="15" t="b">
        <f aca="false">AND(SUMIFS(C$7:C$28,$B$7:$B$28,"region_group")=C30,ABS(SUMIFS(I$7:I$28,$B$7:$B$28,"region_group")-I30)&lt;0.01)</f>
        <v>1</v>
      </c>
      <c r="P31" s="22"/>
      <c r="Q31" s="22"/>
      <c r="R31" s="22"/>
      <c r="S31" s="22"/>
      <c r="T31" s="22"/>
      <c r="U31" s="22"/>
      <c r="V31" s="22"/>
      <c r="W31" s="22"/>
      <c r="X31" s="22"/>
    </row>
    <row r="32" customFormat="false" ht="15" hidden="false" customHeight="false" outlineLevel="0" collapsed="false">
      <c r="A32" s="2" t="s">
        <v>493</v>
      </c>
      <c r="C32" s="15" t="b">
        <f aca="false">AND(SUMIFS(C$7:C$28,$B$7:$B$28,"acquisition_channel")=C30,ABS(SUMIFS(I$7:I$28,$B$7:$B$28,"acquisition_channel")-I30)&lt;0.01)</f>
        <v>1</v>
      </c>
      <c r="P32" s="22"/>
      <c r="Q32" s="22"/>
      <c r="R32" s="22"/>
      <c r="S32" s="22"/>
      <c r="T32" s="22"/>
      <c r="U32" s="22"/>
      <c r="V32" s="22"/>
      <c r="W32" s="22"/>
      <c r="X32" s="22"/>
    </row>
    <row r="33" customFormat="false" ht="15" hidden="false" customHeight="false" outlineLevel="0" collapsed="false">
      <c r="A33" s="2" t="s">
        <v>494</v>
      </c>
      <c r="C33" s="15" t="b">
        <f aca="false">AND(SUMIFS(C$7:C$28,$B$7:$B$28,"company_size")=C30,ABS(SUMIFS(I$7:I$28,$B$7:$B$28,"company_size")-I30)&lt;0.01)</f>
        <v>1</v>
      </c>
      <c r="P33" s="22"/>
      <c r="Q33" s="22"/>
      <c r="R33" s="22"/>
      <c r="S33" s="22"/>
      <c r="T33" s="22"/>
      <c r="U33" s="22"/>
      <c r="V33" s="22"/>
      <c r="W33" s="22"/>
      <c r="X33" s="22"/>
    </row>
    <row r="34" customFormat="false" ht="15" hidden="false" customHeight="false" outlineLevel="0" collapsed="false">
      <c r="A34" s="2" t="s">
        <v>495</v>
      </c>
      <c r="C34" s="15" t="b">
        <f aca="false">ABS(I30-'4a Revenue quality'!F10)&lt;0.01</f>
        <v>1</v>
      </c>
      <c r="P34" s="22"/>
      <c r="Q34" s="22"/>
      <c r="R34" s="22"/>
      <c r="S34" s="22"/>
      <c r="T34" s="22"/>
      <c r="U34" s="22"/>
      <c r="V34" s="22"/>
      <c r="W34" s="22"/>
      <c r="X34" s="22"/>
    </row>
    <row r="35" customFormat="false" ht="15" hidden="false" customHeight="false" outlineLevel="0" collapsed="false">
      <c r="P35" s="22"/>
      <c r="Q35" s="22"/>
      <c r="R35" s="22"/>
      <c r="S35" s="22"/>
      <c r="T35" s="22"/>
      <c r="U35" s="22"/>
      <c r="V35" s="22"/>
      <c r="W35" s="22"/>
      <c r="X35" s="22"/>
    </row>
  </sheetData>
  <mergeCells count="1">
    <mergeCell ref="P24:X35"/>
  </mergeCells>
  <printOptions headings="false" gridLines="false" gridLinesSet="true" horizontalCentered="fals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&amp;C&amp;A</oddHeader>
    <oddFooter>&amp;LProject Northbridge: DRAFT&amp;CPage &amp;P of &amp;N</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3" min="2" style="0" width="10"/>
    <col collapsed="false" customWidth="true" hidden="false" outlineLevel="0" max="4" min="4" style="0" width="24"/>
    <col collapsed="false" customWidth="true" hidden="false" outlineLevel="0" max="6" min="5" style="0" width="70"/>
    <col collapsed="false" customWidth="true" hidden="false" outlineLevel="0" max="7" min="7" style="0" width="10"/>
  </cols>
  <sheetData>
    <row r="1" customFormat="false" ht="15" hidden="false" customHeight="false" outlineLevel="0" collapsed="false">
      <c r="A1" s="1" t="s">
        <v>496</v>
      </c>
    </row>
    <row r="2" customFormat="false" ht="15" hidden="false" customHeight="false" outlineLevel="0" collapsed="false">
      <c r="A2" s="2" t="s">
        <v>497</v>
      </c>
    </row>
    <row r="3" customFormat="false" ht="15" hidden="false" customHeight="false" outlineLevel="0" collapsed="false">
      <c r="A3" s="2" t="s">
        <v>498</v>
      </c>
    </row>
    <row r="5" customFormat="false" ht="30" hidden="false" customHeight="true" outlineLevel="0" collapsed="false">
      <c r="A5" s="4" t="s">
        <v>499</v>
      </c>
      <c r="B5" s="4" t="s">
        <v>500</v>
      </c>
      <c r="C5" s="4" t="s">
        <v>501</v>
      </c>
      <c r="D5" s="4" t="s">
        <v>502</v>
      </c>
      <c r="E5" s="4" t="s">
        <v>503</v>
      </c>
      <c r="F5" s="4" t="s">
        <v>504</v>
      </c>
      <c r="G5" s="4" t="s">
        <v>121</v>
      </c>
    </row>
    <row r="6" customFormat="false" ht="75" hidden="false" customHeight="true" outlineLevel="0" collapsed="false">
      <c r="A6" s="31" t="s">
        <v>505</v>
      </c>
      <c r="B6" s="31" t="s">
        <v>506</v>
      </c>
      <c r="C6" s="31" t="s">
        <v>82</v>
      </c>
      <c r="D6" s="31" t="s">
        <v>507</v>
      </c>
      <c r="E6" s="31" t="s">
        <v>508</v>
      </c>
      <c r="F6" s="31" t="s">
        <v>509</v>
      </c>
      <c r="G6" s="31" t="s">
        <v>510</v>
      </c>
    </row>
    <row r="7" customFormat="false" ht="75" hidden="false" customHeight="true" outlineLevel="0" collapsed="false">
      <c r="A7" s="31" t="s">
        <v>511</v>
      </c>
      <c r="B7" s="31" t="s">
        <v>506</v>
      </c>
      <c r="C7" s="31" t="s">
        <v>89</v>
      </c>
      <c r="D7" s="31" t="s">
        <v>512</v>
      </c>
      <c r="E7" s="31" t="s">
        <v>513</v>
      </c>
      <c r="F7" s="31" t="s">
        <v>514</v>
      </c>
      <c r="G7" s="31" t="s">
        <v>510</v>
      </c>
    </row>
    <row r="8" customFormat="false" ht="75" hidden="false" customHeight="true" outlineLevel="0" collapsed="false">
      <c r="A8" s="31" t="s">
        <v>515</v>
      </c>
      <c r="B8" s="31" t="s">
        <v>506</v>
      </c>
      <c r="C8" s="31" t="s">
        <v>89</v>
      </c>
      <c r="D8" s="31" t="s">
        <v>512</v>
      </c>
      <c r="E8" s="31" t="s">
        <v>516</v>
      </c>
      <c r="F8" s="31" t="s">
        <v>517</v>
      </c>
      <c r="G8" s="31" t="s">
        <v>510</v>
      </c>
    </row>
    <row r="9" customFormat="false" ht="75" hidden="false" customHeight="true" outlineLevel="0" collapsed="false">
      <c r="A9" s="31" t="s">
        <v>518</v>
      </c>
      <c r="B9" s="31" t="s">
        <v>506</v>
      </c>
      <c r="C9" s="31" t="s">
        <v>89</v>
      </c>
      <c r="D9" s="31" t="s">
        <v>512</v>
      </c>
      <c r="E9" s="31" t="s">
        <v>519</v>
      </c>
      <c r="F9" s="31" t="s">
        <v>520</v>
      </c>
      <c r="G9" s="31" t="s">
        <v>510</v>
      </c>
    </row>
    <row r="10" customFormat="false" ht="75" hidden="false" customHeight="true" outlineLevel="0" collapsed="false">
      <c r="A10" s="31" t="s">
        <v>521</v>
      </c>
      <c r="B10" s="31" t="s">
        <v>506</v>
      </c>
      <c r="C10" s="31" t="s">
        <v>89</v>
      </c>
      <c r="D10" s="31" t="s">
        <v>512</v>
      </c>
      <c r="E10" s="31" t="s">
        <v>522</v>
      </c>
      <c r="F10" s="31" t="s">
        <v>523</v>
      </c>
      <c r="G10" s="31" t="s">
        <v>510</v>
      </c>
    </row>
    <row r="11" customFormat="false" ht="75" hidden="false" customHeight="true" outlineLevel="0" collapsed="false">
      <c r="A11" s="31" t="s">
        <v>524</v>
      </c>
      <c r="B11" s="31" t="s">
        <v>506</v>
      </c>
      <c r="C11" s="31" t="s">
        <v>64</v>
      </c>
      <c r="D11" s="31" t="s">
        <v>525</v>
      </c>
      <c r="E11" s="31" t="s">
        <v>526</v>
      </c>
      <c r="F11" s="31" t="s">
        <v>527</v>
      </c>
      <c r="G11" s="31" t="s">
        <v>510</v>
      </c>
    </row>
    <row r="12" customFormat="false" ht="75" hidden="false" customHeight="true" outlineLevel="0" collapsed="false">
      <c r="A12" s="31" t="s">
        <v>528</v>
      </c>
      <c r="B12" s="31" t="s">
        <v>506</v>
      </c>
      <c r="C12" s="31" t="s">
        <v>93</v>
      </c>
      <c r="D12" s="31" t="s">
        <v>529</v>
      </c>
      <c r="E12" s="31" t="s">
        <v>530</v>
      </c>
      <c r="F12" s="31" t="s">
        <v>531</v>
      </c>
      <c r="G12" s="31" t="s">
        <v>510</v>
      </c>
    </row>
    <row r="13" customFormat="false" ht="75" hidden="false" customHeight="true" outlineLevel="0" collapsed="false">
      <c r="A13" s="31" t="s">
        <v>532</v>
      </c>
      <c r="B13" s="31" t="s">
        <v>506</v>
      </c>
      <c r="C13" s="31" t="s">
        <v>69</v>
      </c>
      <c r="D13" s="31" t="s">
        <v>533</v>
      </c>
      <c r="E13" s="31" t="s">
        <v>534</v>
      </c>
      <c r="F13" s="31" t="s">
        <v>535</v>
      </c>
      <c r="G13" s="31" t="s">
        <v>510</v>
      </c>
    </row>
    <row r="14" customFormat="false" ht="75" hidden="false" customHeight="true" outlineLevel="0" collapsed="false">
      <c r="A14" s="31" t="s">
        <v>536</v>
      </c>
      <c r="B14" s="31" t="s">
        <v>506</v>
      </c>
      <c r="C14" s="31" t="s">
        <v>97</v>
      </c>
      <c r="D14" s="31" t="s">
        <v>537</v>
      </c>
      <c r="E14" s="31" t="s">
        <v>538</v>
      </c>
      <c r="F14" s="31" t="s">
        <v>539</v>
      </c>
      <c r="G14" s="31" t="s">
        <v>510</v>
      </c>
    </row>
    <row r="15" customFormat="false" ht="75" hidden="false" customHeight="true" outlineLevel="0" collapsed="false">
      <c r="A15" s="31" t="s">
        <v>540</v>
      </c>
      <c r="B15" s="31" t="s">
        <v>506</v>
      </c>
      <c r="C15" s="31" t="s">
        <v>77</v>
      </c>
      <c r="D15" s="31" t="s">
        <v>541</v>
      </c>
      <c r="E15" s="31" t="s">
        <v>542</v>
      </c>
      <c r="F15" s="31" t="s">
        <v>543</v>
      </c>
      <c r="G15" s="31" t="s">
        <v>510</v>
      </c>
    </row>
    <row r="16" customFormat="false" ht="75" hidden="false" customHeight="true" outlineLevel="0" collapsed="false">
      <c r="A16" s="31" t="s">
        <v>544</v>
      </c>
      <c r="B16" s="31" t="s">
        <v>545</v>
      </c>
      <c r="C16" s="31" t="s">
        <v>69</v>
      </c>
      <c r="D16" s="31" t="s">
        <v>533</v>
      </c>
      <c r="E16" s="31" t="s">
        <v>546</v>
      </c>
      <c r="F16" s="31" t="s">
        <v>547</v>
      </c>
      <c r="G16" s="31" t="s">
        <v>510</v>
      </c>
    </row>
    <row r="17" customFormat="false" ht="75" hidden="false" customHeight="true" outlineLevel="0" collapsed="false">
      <c r="A17" s="31" t="s">
        <v>548</v>
      </c>
      <c r="B17" s="31" t="s">
        <v>545</v>
      </c>
      <c r="C17" s="31" t="s">
        <v>93</v>
      </c>
      <c r="D17" s="31" t="s">
        <v>529</v>
      </c>
      <c r="E17" s="31" t="s">
        <v>549</v>
      </c>
      <c r="F17" s="31" t="s">
        <v>550</v>
      </c>
      <c r="G17" s="31" t="s">
        <v>510</v>
      </c>
    </row>
    <row r="18" customFormat="false" ht="75" hidden="false" customHeight="true" outlineLevel="0" collapsed="false">
      <c r="A18" s="31" t="s">
        <v>551</v>
      </c>
      <c r="B18" s="31" t="s">
        <v>545</v>
      </c>
      <c r="C18" s="31" t="s">
        <v>93</v>
      </c>
      <c r="D18" s="31" t="s">
        <v>529</v>
      </c>
      <c r="E18" s="31" t="s">
        <v>552</v>
      </c>
      <c r="F18" s="31" t="s">
        <v>553</v>
      </c>
      <c r="G18" s="31" t="s">
        <v>510</v>
      </c>
    </row>
    <row r="19" customFormat="false" ht="75" hidden="false" customHeight="true" outlineLevel="0" collapsed="false">
      <c r="A19" s="31" t="s">
        <v>554</v>
      </c>
      <c r="B19" s="31" t="s">
        <v>545</v>
      </c>
      <c r="C19" s="31" t="s">
        <v>93</v>
      </c>
      <c r="D19" s="31" t="s">
        <v>529</v>
      </c>
      <c r="E19" s="31" t="s">
        <v>555</v>
      </c>
      <c r="F19" s="31" t="s">
        <v>556</v>
      </c>
      <c r="G19" s="31" t="s">
        <v>510</v>
      </c>
    </row>
    <row r="20" customFormat="false" ht="75" hidden="false" customHeight="true" outlineLevel="0" collapsed="false">
      <c r="A20" s="31" t="s">
        <v>557</v>
      </c>
      <c r="B20" s="31" t="s">
        <v>558</v>
      </c>
      <c r="C20" s="31" t="s">
        <v>559</v>
      </c>
      <c r="D20" s="31" t="s">
        <v>47</v>
      </c>
      <c r="E20" s="31" t="s">
        <v>560</v>
      </c>
      <c r="F20" s="31" t="s">
        <v>561</v>
      </c>
      <c r="G20" s="31" t="s">
        <v>510</v>
      </c>
    </row>
    <row r="21" customFormat="false" ht="75" hidden="false" customHeight="true" outlineLevel="0" collapsed="false">
      <c r="A21" s="31" t="s">
        <v>562</v>
      </c>
      <c r="B21" s="31" t="s">
        <v>558</v>
      </c>
      <c r="C21" s="31" t="s">
        <v>563</v>
      </c>
      <c r="D21" s="31" t="s">
        <v>564</v>
      </c>
      <c r="E21" s="31" t="s">
        <v>565</v>
      </c>
      <c r="F21" s="31" t="s">
        <v>566</v>
      </c>
      <c r="G21" s="31" t="s">
        <v>510</v>
      </c>
    </row>
    <row r="22" customFormat="false" ht="75" hidden="false" customHeight="true" outlineLevel="0" collapsed="false">
      <c r="A22" s="31" t="s">
        <v>567</v>
      </c>
      <c r="B22" s="31" t="s">
        <v>558</v>
      </c>
      <c r="C22" s="31" t="s">
        <v>563</v>
      </c>
      <c r="D22" s="31" t="s">
        <v>564</v>
      </c>
      <c r="E22" s="31" t="s">
        <v>568</v>
      </c>
      <c r="F22" s="31" t="s">
        <v>569</v>
      </c>
      <c r="G22" s="31" t="s">
        <v>510</v>
      </c>
    </row>
    <row r="23" customFormat="false" ht="75" hidden="false" customHeight="true" outlineLevel="0" collapsed="false">
      <c r="A23" s="31" t="s">
        <v>570</v>
      </c>
      <c r="B23" s="31" t="s">
        <v>558</v>
      </c>
      <c r="C23" s="31" t="s">
        <v>571</v>
      </c>
      <c r="D23" s="31" t="s">
        <v>253</v>
      </c>
      <c r="E23" s="31" t="s">
        <v>572</v>
      </c>
      <c r="F23" s="31" t="s">
        <v>573</v>
      </c>
      <c r="G23" s="31" t="s">
        <v>510</v>
      </c>
    </row>
    <row r="24" customFormat="false" ht="75" hidden="false" customHeight="true" outlineLevel="0" collapsed="false">
      <c r="A24" s="31" t="s">
        <v>574</v>
      </c>
      <c r="B24" s="31" t="s">
        <v>558</v>
      </c>
      <c r="C24" s="31" t="s">
        <v>575</v>
      </c>
      <c r="D24" s="31" t="s">
        <v>253</v>
      </c>
      <c r="E24" s="31" t="s">
        <v>576</v>
      </c>
      <c r="F24" s="31" t="s">
        <v>577</v>
      </c>
      <c r="G24" s="31" t="s">
        <v>510</v>
      </c>
    </row>
    <row r="25" customFormat="false" ht="75" hidden="false" customHeight="true" outlineLevel="0" collapsed="false">
      <c r="A25" s="31" t="s">
        <v>578</v>
      </c>
      <c r="B25" s="31" t="s">
        <v>558</v>
      </c>
      <c r="C25" s="31" t="s">
        <v>579</v>
      </c>
      <c r="D25" s="31" t="s">
        <v>580</v>
      </c>
      <c r="E25" s="31" t="s">
        <v>581</v>
      </c>
      <c r="F25" s="31" t="s">
        <v>582</v>
      </c>
      <c r="G25" s="31" t="s">
        <v>510</v>
      </c>
    </row>
    <row r="26" customFormat="false" ht="75" hidden="false" customHeight="true" outlineLevel="0" collapsed="false">
      <c r="A26" s="31" t="s">
        <v>583</v>
      </c>
      <c r="B26" s="31" t="s">
        <v>558</v>
      </c>
      <c r="C26" s="31" t="s">
        <v>579</v>
      </c>
      <c r="D26" s="31" t="s">
        <v>584</v>
      </c>
      <c r="E26" s="31" t="s">
        <v>585</v>
      </c>
      <c r="F26" s="31" t="s">
        <v>586</v>
      </c>
      <c r="G26" s="31" t="s">
        <v>510</v>
      </c>
    </row>
  </sheetData>
  <printOptions headings="false" gridLines="false" gridLinesSet="true" horizontalCentered="fals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&amp;C&amp;A</oddHeader>
    <oddFooter>&amp;LProject Northbridge: DRAFT&amp;CPage &amp;P of &amp;N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95"/>
    <col collapsed="false" customWidth="true" hidden="false" outlineLevel="0" max="3" min="3" style="0" width="22"/>
    <col collapsed="false" customWidth="true" hidden="false" outlineLevel="0" max="5" min="4" style="0" width="10"/>
  </cols>
  <sheetData>
    <row r="1" customFormat="false" ht="15" hidden="false" customHeight="false" outlineLevel="0" collapsed="false">
      <c r="A1" s="1" t="s">
        <v>587</v>
      </c>
    </row>
    <row r="2" customFormat="false" ht="15" hidden="false" customHeight="false" outlineLevel="0" collapsed="false">
      <c r="A2" s="2" t="s">
        <v>588</v>
      </c>
    </row>
    <row r="3" customFormat="false" ht="15" hidden="false" customHeight="false" outlineLevel="0" collapsed="false">
      <c r="A3" s="2" t="s">
        <v>589</v>
      </c>
    </row>
    <row r="5" customFormat="false" ht="15" hidden="false" customHeight="false" outlineLevel="0" collapsed="false">
      <c r="A5" s="1" t="s">
        <v>590</v>
      </c>
      <c r="C5" s="32" t="b">
        <f aca="false">AND(E8:E63)</f>
        <v>1</v>
      </c>
    </row>
    <row r="7" customFormat="false" ht="30" hidden="false" customHeight="true" outlineLevel="0" collapsed="false">
      <c r="A7" s="4" t="s">
        <v>591</v>
      </c>
      <c r="B7" s="4" t="s">
        <v>145</v>
      </c>
      <c r="C7" s="4" t="s">
        <v>10</v>
      </c>
      <c r="D7" s="4" t="s">
        <v>592</v>
      </c>
      <c r="E7" s="4" t="s">
        <v>593</v>
      </c>
    </row>
    <row r="8" customFormat="false" ht="15" hidden="false" customHeight="false" outlineLevel="0" collapsed="false">
      <c r="A8" s="2" t="n">
        <v>1</v>
      </c>
      <c r="B8" s="2" t="s">
        <v>594</v>
      </c>
      <c r="C8" s="2" t="s">
        <v>14</v>
      </c>
      <c r="D8" s="2" t="s">
        <v>595</v>
      </c>
      <c r="E8" s="33" t="b">
        <f aca="false">Reconciliation!I55</f>
        <v>1</v>
      </c>
    </row>
    <row r="9" customFormat="false" ht="15" hidden="false" customHeight="false" outlineLevel="0" collapsed="false">
      <c r="A9" s="2" t="n">
        <v>2</v>
      </c>
      <c r="B9" s="2" t="s">
        <v>596</v>
      </c>
      <c r="C9" s="2" t="s">
        <v>14</v>
      </c>
      <c r="D9" s="2" t="s">
        <v>597</v>
      </c>
      <c r="E9" s="33" t="b">
        <f aca="false">Reconciliation!I59</f>
        <v>1</v>
      </c>
    </row>
    <row r="10" customFormat="false" ht="15" hidden="false" customHeight="false" outlineLevel="0" collapsed="false">
      <c r="A10" s="2" t="n">
        <v>3</v>
      </c>
      <c r="B10" s="2" t="s">
        <v>598</v>
      </c>
      <c r="C10" s="2" t="s">
        <v>14</v>
      </c>
      <c r="D10" s="2" t="s">
        <v>599</v>
      </c>
      <c r="E10" s="33" t="b">
        <f aca="false">Reconciliation!I60</f>
        <v>1</v>
      </c>
    </row>
    <row r="11" customFormat="false" ht="15" hidden="false" customHeight="false" outlineLevel="0" collapsed="false">
      <c r="A11" s="2" t="n">
        <v>4</v>
      </c>
      <c r="B11" s="2" t="s">
        <v>600</v>
      </c>
      <c r="C11" s="2" t="s">
        <v>14</v>
      </c>
      <c r="D11" s="2" t="s">
        <v>601</v>
      </c>
      <c r="E11" s="33" t="b">
        <f aca="false">Reconciliation!I61</f>
        <v>1</v>
      </c>
    </row>
    <row r="12" customFormat="false" ht="15" hidden="false" customHeight="false" outlineLevel="0" collapsed="false">
      <c r="A12" s="2" t="n">
        <v>5</v>
      </c>
      <c r="B12" s="2" t="s">
        <v>602</v>
      </c>
      <c r="C12" s="2" t="s">
        <v>14</v>
      </c>
      <c r="D12" s="2" t="s">
        <v>603</v>
      </c>
      <c r="E12" s="33" t="b">
        <f aca="false">Reconciliation!I62</f>
        <v>1</v>
      </c>
    </row>
    <row r="13" customFormat="false" ht="15" hidden="false" customHeight="false" outlineLevel="0" collapsed="false">
      <c r="A13" s="2" t="n">
        <v>6</v>
      </c>
      <c r="B13" s="2" t="s">
        <v>604</v>
      </c>
      <c r="C13" s="2" t="s">
        <v>14</v>
      </c>
      <c r="D13" s="2" t="s">
        <v>605</v>
      </c>
      <c r="E13" s="33" t="b">
        <f aca="false">Reconciliation!B74</f>
        <v>1</v>
      </c>
    </row>
    <row r="14" customFormat="false" ht="15" hidden="false" customHeight="false" outlineLevel="0" collapsed="false">
      <c r="A14" s="2" t="n">
        <v>7</v>
      </c>
      <c r="B14" s="2" t="s">
        <v>606</v>
      </c>
      <c r="C14" s="2" t="s">
        <v>14</v>
      </c>
      <c r="D14" s="2" t="s">
        <v>607</v>
      </c>
      <c r="E14" s="33" t="b">
        <f aca="false">Reconciliation!C74</f>
        <v>1</v>
      </c>
    </row>
    <row r="15" customFormat="false" ht="15" hidden="false" customHeight="false" outlineLevel="0" collapsed="false">
      <c r="A15" s="2" t="n">
        <v>8</v>
      </c>
      <c r="B15" s="2" t="s">
        <v>608</v>
      </c>
      <c r="C15" s="2" t="s">
        <v>14</v>
      </c>
      <c r="D15" s="2" t="s">
        <v>609</v>
      </c>
      <c r="E15" s="33" t="b">
        <f aca="false">Reconciliation!D74</f>
        <v>1</v>
      </c>
    </row>
    <row r="16" customFormat="false" ht="15" hidden="false" customHeight="false" outlineLevel="0" collapsed="false">
      <c r="A16" s="2" t="n">
        <v>9</v>
      </c>
      <c r="B16" s="2" t="s">
        <v>610</v>
      </c>
      <c r="C16" s="2" t="s">
        <v>14</v>
      </c>
      <c r="D16" s="2" t="s">
        <v>611</v>
      </c>
      <c r="E16" s="33" t="b">
        <f aca="false">Reconciliation!E74</f>
        <v>1</v>
      </c>
    </row>
    <row r="17" customFormat="false" ht="15" hidden="false" customHeight="false" outlineLevel="0" collapsed="false">
      <c r="A17" s="2" t="n">
        <v>10</v>
      </c>
      <c r="B17" s="2" t="s">
        <v>612</v>
      </c>
      <c r="C17" s="2" t="s">
        <v>14</v>
      </c>
      <c r="D17" s="2" t="s">
        <v>613</v>
      </c>
      <c r="E17" s="33" t="b">
        <f aca="false">Reconciliation!F95</f>
        <v>1</v>
      </c>
    </row>
    <row r="18" customFormat="false" ht="15" hidden="false" customHeight="false" outlineLevel="0" collapsed="false">
      <c r="A18" s="2" t="n">
        <v>11</v>
      </c>
      <c r="B18" s="2" t="s">
        <v>614</v>
      </c>
      <c r="C18" s="2" t="s">
        <v>16</v>
      </c>
      <c r="D18" s="2" t="s">
        <v>615</v>
      </c>
      <c r="E18" s="33" t="b">
        <f aca="false">'4a Revenue quality'!N7</f>
        <v>1</v>
      </c>
    </row>
    <row r="19" customFormat="false" ht="15" hidden="false" customHeight="false" outlineLevel="0" collapsed="false">
      <c r="A19" s="2" t="n">
        <v>12</v>
      </c>
      <c r="B19" s="2" t="s">
        <v>616</v>
      </c>
      <c r="C19" s="2" t="s">
        <v>16</v>
      </c>
      <c r="D19" s="2" t="s">
        <v>617</v>
      </c>
      <c r="E19" s="33" t="b">
        <f aca="false">'4a Revenue quality'!N8</f>
        <v>1</v>
      </c>
    </row>
    <row r="20" customFormat="false" ht="15" hidden="false" customHeight="false" outlineLevel="0" collapsed="false">
      <c r="A20" s="2" t="n">
        <v>13</v>
      </c>
      <c r="B20" s="2" t="s">
        <v>618</v>
      </c>
      <c r="C20" s="2" t="s">
        <v>16</v>
      </c>
      <c r="D20" s="2" t="s">
        <v>619</v>
      </c>
      <c r="E20" s="33" t="b">
        <f aca="false">'4a Revenue quality'!N9</f>
        <v>1</v>
      </c>
    </row>
    <row r="21" customFormat="false" ht="15" hidden="false" customHeight="false" outlineLevel="0" collapsed="false">
      <c r="A21" s="2" t="n">
        <v>14</v>
      </c>
      <c r="B21" s="2" t="s">
        <v>620</v>
      </c>
      <c r="C21" s="2" t="s">
        <v>16</v>
      </c>
      <c r="D21" s="2" t="s">
        <v>621</v>
      </c>
      <c r="E21" s="33" t="b">
        <f aca="false">'4a Revenue quality'!N10</f>
        <v>1</v>
      </c>
    </row>
    <row r="22" customFormat="false" ht="15" hidden="false" customHeight="false" outlineLevel="0" collapsed="false">
      <c r="A22" s="2" t="n">
        <v>15</v>
      </c>
      <c r="B22" s="2" t="s">
        <v>622</v>
      </c>
      <c r="C22" s="2" t="s">
        <v>18</v>
      </c>
      <c r="D22" s="2" t="s">
        <v>623</v>
      </c>
      <c r="E22" s="33" t="b">
        <f aca="false">'4b Concentration'!J7</f>
        <v>1</v>
      </c>
    </row>
    <row r="23" customFormat="false" ht="15" hidden="false" customHeight="false" outlineLevel="0" collapsed="false">
      <c r="A23" s="2" t="n">
        <v>16</v>
      </c>
      <c r="B23" s="2" t="s">
        <v>624</v>
      </c>
      <c r="C23" s="2" t="s">
        <v>18</v>
      </c>
      <c r="D23" s="2" t="s">
        <v>625</v>
      </c>
      <c r="E23" s="33" t="b">
        <f aca="false">'4b Concentration'!J8</f>
        <v>1</v>
      </c>
    </row>
    <row r="24" customFormat="false" ht="15" hidden="false" customHeight="false" outlineLevel="0" collapsed="false">
      <c r="A24" s="2" t="n">
        <v>17</v>
      </c>
      <c r="B24" s="2" t="s">
        <v>626</v>
      </c>
      <c r="C24" s="2" t="s">
        <v>18</v>
      </c>
      <c r="D24" s="2" t="s">
        <v>627</v>
      </c>
      <c r="E24" s="33" t="b">
        <f aca="false">'4b Concentration'!J9</f>
        <v>1</v>
      </c>
    </row>
    <row r="25" customFormat="false" ht="15" hidden="false" customHeight="false" outlineLevel="0" collapsed="false">
      <c r="A25" s="2" t="n">
        <v>18</v>
      </c>
      <c r="B25" s="2" t="s">
        <v>628</v>
      </c>
      <c r="C25" s="2" t="s">
        <v>18</v>
      </c>
      <c r="D25" s="2" t="s">
        <v>629</v>
      </c>
      <c r="E25" s="33" t="b">
        <f aca="false">'4b Concentration'!J10</f>
        <v>1</v>
      </c>
    </row>
    <row r="26" customFormat="false" ht="15" hidden="false" customHeight="false" outlineLevel="0" collapsed="false">
      <c r="A26" s="2" t="n">
        <v>19</v>
      </c>
      <c r="B26" s="2" t="s">
        <v>630</v>
      </c>
      <c r="C26" s="2" t="s">
        <v>18</v>
      </c>
      <c r="D26" s="2" t="s">
        <v>631</v>
      </c>
      <c r="E26" s="33" t="b">
        <f aca="false">'4b Concentration'!J11</f>
        <v>1</v>
      </c>
    </row>
    <row r="27" customFormat="false" ht="15" hidden="false" customHeight="false" outlineLevel="0" collapsed="false">
      <c r="A27" s="2" t="n">
        <v>20</v>
      </c>
      <c r="B27" s="2" t="s">
        <v>632</v>
      </c>
      <c r="C27" s="2" t="s">
        <v>18</v>
      </c>
      <c r="D27" s="2" t="s">
        <v>633</v>
      </c>
      <c r="E27" s="33" t="b">
        <f aca="false">'4b Concentration'!J12</f>
        <v>1</v>
      </c>
    </row>
    <row r="28" customFormat="false" ht="15" hidden="false" customHeight="false" outlineLevel="0" collapsed="false">
      <c r="A28" s="2" t="n">
        <v>21</v>
      </c>
      <c r="B28" s="2" t="s">
        <v>634</v>
      </c>
      <c r="C28" s="2" t="s">
        <v>18</v>
      </c>
      <c r="D28" s="2" t="s">
        <v>635</v>
      </c>
      <c r="E28" s="33" t="b">
        <f aca="false">'4b Concentration'!J13</f>
        <v>1</v>
      </c>
    </row>
    <row r="29" customFormat="false" ht="15" hidden="false" customHeight="false" outlineLevel="0" collapsed="false">
      <c r="A29" s="2" t="n">
        <v>22</v>
      </c>
      <c r="B29" s="2" t="s">
        <v>636</v>
      </c>
      <c r="C29" s="2" t="s">
        <v>18</v>
      </c>
      <c r="D29" s="2" t="s">
        <v>637</v>
      </c>
      <c r="E29" s="33" t="b">
        <f aca="false">'4b Concentration'!J14</f>
        <v>1</v>
      </c>
    </row>
    <row r="30" customFormat="false" ht="15" hidden="false" customHeight="false" outlineLevel="0" collapsed="false">
      <c r="A30" s="2" t="n">
        <v>23</v>
      </c>
      <c r="B30" s="2" t="s">
        <v>638</v>
      </c>
      <c r="C30" s="2" t="s">
        <v>18</v>
      </c>
      <c r="D30" s="2" t="s">
        <v>639</v>
      </c>
      <c r="E30" s="33" t="b">
        <f aca="false">'4b Concentration'!J15</f>
        <v>1</v>
      </c>
    </row>
    <row r="31" customFormat="false" ht="15" hidden="false" customHeight="false" outlineLevel="0" collapsed="false">
      <c r="A31" s="2" t="n">
        <v>24</v>
      </c>
      <c r="B31" s="2" t="s">
        <v>640</v>
      </c>
      <c r="C31" s="2" t="s">
        <v>18</v>
      </c>
      <c r="D31" s="2" t="s">
        <v>641</v>
      </c>
      <c r="E31" s="33" t="b">
        <f aca="false">'4b Concentration'!J16</f>
        <v>1</v>
      </c>
    </row>
    <row r="32" customFormat="false" ht="15" hidden="false" customHeight="false" outlineLevel="0" collapsed="false">
      <c r="A32" s="2" t="n">
        <v>25</v>
      </c>
      <c r="B32" s="2" t="s">
        <v>642</v>
      </c>
      <c r="C32" s="2" t="s">
        <v>18</v>
      </c>
      <c r="D32" s="2" t="s">
        <v>643</v>
      </c>
      <c r="E32" s="33" t="b">
        <f aca="false">'4b Concentration'!J17</f>
        <v>1</v>
      </c>
    </row>
    <row r="33" customFormat="false" ht="15" hidden="false" customHeight="false" outlineLevel="0" collapsed="false">
      <c r="A33" s="2" t="n">
        <v>26</v>
      </c>
      <c r="B33" s="2" t="s">
        <v>644</v>
      </c>
      <c r="C33" s="2" t="s">
        <v>18</v>
      </c>
      <c r="D33" s="2" t="s">
        <v>645</v>
      </c>
      <c r="E33" s="33" t="b">
        <f aca="false">'4b Concentration'!J18</f>
        <v>1</v>
      </c>
    </row>
    <row r="34" customFormat="false" ht="15" hidden="false" customHeight="false" outlineLevel="0" collapsed="false">
      <c r="A34" s="2" t="n">
        <v>27</v>
      </c>
      <c r="B34" s="2" t="s">
        <v>646</v>
      </c>
      <c r="C34" s="2" t="s">
        <v>18</v>
      </c>
      <c r="D34" s="2" t="s">
        <v>647</v>
      </c>
      <c r="E34" s="33" t="b">
        <f aca="false">'4b Concentration'!J19</f>
        <v>1</v>
      </c>
    </row>
    <row r="35" customFormat="false" ht="15" hidden="false" customHeight="false" outlineLevel="0" collapsed="false">
      <c r="A35" s="2" t="n">
        <v>28</v>
      </c>
      <c r="B35" s="2" t="s">
        <v>648</v>
      </c>
      <c r="C35" s="2" t="s">
        <v>18</v>
      </c>
      <c r="D35" s="2" t="s">
        <v>649</v>
      </c>
      <c r="E35" s="33" t="b">
        <f aca="false">'4b Concentration'!J20</f>
        <v>1</v>
      </c>
    </row>
    <row r="36" customFormat="false" ht="15" hidden="false" customHeight="false" outlineLevel="0" collapsed="false">
      <c r="A36" s="2" t="n">
        <v>29</v>
      </c>
      <c r="B36" s="2" t="s">
        <v>650</v>
      </c>
      <c r="C36" s="2" t="s">
        <v>18</v>
      </c>
      <c r="D36" s="2" t="s">
        <v>651</v>
      </c>
      <c r="E36" s="33" t="b">
        <f aca="false">'4b Concentration'!J21</f>
        <v>1</v>
      </c>
    </row>
    <row r="37" customFormat="false" ht="15" hidden="false" customHeight="false" outlineLevel="0" collapsed="false">
      <c r="A37" s="2" t="n">
        <v>30</v>
      </c>
      <c r="B37" s="2" t="s">
        <v>652</v>
      </c>
      <c r="C37" s="2" t="s">
        <v>18</v>
      </c>
      <c r="D37" s="2" t="s">
        <v>653</v>
      </c>
      <c r="E37" s="33" t="b">
        <f aca="false">'4b Concentration'!J22</f>
        <v>1</v>
      </c>
    </row>
    <row r="38" customFormat="false" ht="15" hidden="false" customHeight="false" outlineLevel="0" collapsed="false">
      <c r="A38" s="2" t="n">
        <v>31</v>
      </c>
      <c r="B38" s="2" t="s">
        <v>654</v>
      </c>
      <c r="C38" s="2" t="s">
        <v>22</v>
      </c>
      <c r="D38" s="2" t="s">
        <v>655</v>
      </c>
      <c r="E38" s="33" t="b">
        <f aca="false">'4d NRR GRR'!B20</f>
        <v>1</v>
      </c>
    </row>
    <row r="39" customFormat="false" ht="15" hidden="false" customHeight="false" outlineLevel="0" collapsed="false">
      <c r="A39" s="2" t="n">
        <v>32</v>
      </c>
      <c r="B39" s="2" t="s">
        <v>656</v>
      </c>
      <c r="C39" s="2" t="s">
        <v>22</v>
      </c>
      <c r="D39" s="2" t="s">
        <v>657</v>
      </c>
      <c r="E39" s="33" t="b">
        <f aca="false">'4d NRR GRR'!C20</f>
        <v>1</v>
      </c>
    </row>
    <row r="40" customFormat="false" ht="15" hidden="false" customHeight="false" outlineLevel="0" collapsed="false">
      <c r="A40" s="2" t="n">
        <v>33</v>
      </c>
      <c r="B40" s="2" t="s">
        <v>658</v>
      </c>
      <c r="C40" s="2" t="s">
        <v>22</v>
      </c>
      <c r="D40" s="2" t="s">
        <v>659</v>
      </c>
      <c r="E40" s="33" t="b">
        <f aca="false">'4d NRR GRR'!D20</f>
        <v>1</v>
      </c>
    </row>
    <row r="41" customFormat="false" ht="15" hidden="false" customHeight="false" outlineLevel="0" collapsed="false">
      <c r="A41" s="2" t="n">
        <v>34</v>
      </c>
      <c r="B41" s="2" t="s">
        <v>660</v>
      </c>
      <c r="C41" s="2" t="s">
        <v>22</v>
      </c>
      <c r="D41" s="2" t="s">
        <v>599</v>
      </c>
      <c r="E41" s="33" t="b">
        <f aca="false">'4d NRR GRR'!I60</f>
        <v>1</v>
      </c>
    </row>
    <row r="42" customFormat="false" ht="15" hidden="false" customHeight="false" outlineLevel="0" collapsed="false">
      <c r="A42" s="2" t="n">
        <v>35</v>
      </c>
      <c r="B42" s="2" t="s">
        <v>661</v>
      </c>
      <c r="C42" s="2" t="s">
        <v>22</v>
      </c>
      <c r="D42" s="2" t="s">
        <v>601</v>
      </c>
      <c r="E42" s="33" t="b">
        <f aca="false">'4d NRR GRR'!I61</f>
        <v>1</v>
      </c>
    </row>
    <row r="43" customFormat="false" ht="15" hidden="false" customHeight="false" outlineLevel="0" collapsed="false">
      <c r="A43" s="2" t="n">
        <v>36</v>
      </c>
      <c r="B43" s="2" t="s">
        <v>662</v>
      </c>
      <c r="C43" s="2" t="s">
        <v>22</v>
      </c>
      <c r="D43" s="2" t="s">
        <v>603</v>
      </c>
      <c r="E43" s="33" t="b">
        <f aca="false">'4d NRR GRR'!I62</f>
        <v>1</v>
      </c>
    </row>
    <row r="44" customFormat="false" ht="15" hidden="false" customHeight="false" outlineLevel="0" collapsed="false">
      <c r="A44" s="2" t="n">
        <v>37</v>
      </c>
      <c r="B44" s="2" t="s">
        <v>663</v>
      </c>
      <c r="C44" s="2" t="s">
        <v>24</v>
      </c>
      <c r="D44" s="2" t="s">
        <v>664</v>
      </c>
      <c r="E44" s="33" t="b">
        <f aca="false">'4e ARR bridge'!B17</f>
        <v>1</v>
      </c>
    </row>
    <row r="45" customFormat="false" ht="15" hidden="false" customHeight="false" outlineLevel="0" collapsed="false">
      <c r="A45" s="2" t="n">
        <v>38</v>
      </c>
      <c r="B45" s="2" t="s">
        <v>665</v>
      </c>
      <c r="C45" s="2" t="s">
        <v>24</v>
      </c>
      <c r="D45" s="2" t="s">
        <v>666</v>
      </c>
      <c r="E45" s="33" t="b">
        <f aca="false">'4e ARR bridge'!C17</f>
        <v>1</v>
      </c>
    </row>
    <row r="46" customFormat="false" ht="15" hidden="false" customHeight="false" outlineLevel="0" collapsed="false">
      <c r="A46" s="2" t="n">
        <v>39</v>
      </c>
      <c r="B46" s="2" t="s">
        <v>667</v>
      </c>
      <c r="C46" s="2" t="s">
        <v>24</v>
      </c>
      <c r="D46" s="2" t="s">
        <v>668</v>
      </c>
      <c r="E46" s="33" t="b">
        <f aca="false">'4e ARR bridge'!D17</f>
        <v>1</v>
      </c>
    </row>
    <row r="47" customFormat="false" ht="15" hidden="false" customHeight="false" outlineLevel="0" collapsed="false">
      <c r="A47" s="2" t="n">
        <v>40</v>
      </c>
      <c r="B47" s="2" t="s">
        <v>669</v>
      </c>
      <c r="C47" s="2" t="s">
        <v>24</v>
      </c>
      <c r="D47" s="2" t="s">
        <v>670</v>
      </c>
      <c r="E47" s="33" t="b">
        <f aca="false">'4e ARR bridge'!B49</f>
        <v>1</v>
      </c>
    </row>
    <row r="48" customFormat="false" ht="15" hidden="false" customHeight="false" outlineLevel="0" collapsed="false">
      <c r="A48" s="2" t="n">
        <v>41</v>
      </c>
      <c r="B48" s="2" t="s">
        <v>671</v>
      </c>
      <c r="C48" s="2" t="s">
        <v>24</v>
      </c>
      <c r="D48" s="2" t="s">
        <v>672</v>
      </c>
      <c r="E48" s="33" t="b">
        <f aca="false">'4e ARR bridge'!C49</f>
        <v>1</v>
      </c>
    </row>
    <row r="49" customFormat="false" ht="15" hidden="false" customHeight="false" outlineLevel="0" collapsed="false">
      <c r="A49" s="2" t="n">
        <v>42</v>
      </c>
      <c r="B49" s="2" t="s">
        <v>673</v>
      </c>
      <c r="C49" s="2" t="s">
        <v>24</v>
      </c>
      <c r="D49" s="2" t="s">
        <v>674</v>
      </c>
      <c r="E49" s="33" t="b">
        <f aca="false">'4e ARR bridge'!D49</f>
        <v>1</v>
      </c>
    </row>
    <row r="50" customFormat="false" ht="15" hidden="false" customHeight="false" outlineLevel="0" collapsed="false">
      <c r="A50" s="2" t="n">
        <v>43</v>
      </c>
      <c r="B50" s="2" t="s">
        <v>675</v>
      </c>
      <c r="C50" s="2" t="s">
        <v>26</v>
      </c>
      <c r="D50" s="2" t="s">
        <v>676</v>
      </c>
      <c r="E50" s="33" t="b">
        <f aca="false">'4f Margin'!C47</f>
        <v>1</v>
      </c>
    </row>
    <row r="51" customFormat="false" ht="15" hidden="false" customHeight="false" outlineLevel="0" collapsed="false">
      <c r="A51" s="2" t="n">
        <v>44</v>
      </c>
      <c r="B51" s="2" t="s">
        <v>677</v>
      </c>
      <c r="C51" s="2" t="s">
        <v>26</v>
      </c>
      <c r="D51" s="2" t="s">
        <v>678</v>
      </c>
      <c r="E51" s="33" t="b">
        <f aca="false">'4f Margin'!D47</f>
        <v>1</v>
      </c>
    </row>
    <row r="52" customFormat="false" ht="15" hidden="false" customHeight="false" outlineLevel="0" collapsed="false">
      <c r="A52" s="2" t="n">
        <v>45</v>
      </c>
      <c r="B52" s="2" t="s">
        <v>679</v>
      </c>
      <c r="C52" s="2" t="s">
        <v>26</v>
      </c>
      <c r="D52" s="2" t="s">
        <v>680</v>
      </c>
      <c r="E52" s="33" t="b">
        <f aca="false">'4f Margin'!E47</f>
        <v>1</v>
      </c>
    </row>
    <row r="53" customFormat="false" ht="15" hidden="false" customHeight="false" outlineLevel="0" collapsed="false">
      <c r="A53" s="2" t="n">
        <v>46</v>
      </c>
      <c r="B53" s="2" t="s">
        <v>681</v>
      </c>
      <c r="C53" s="2" t="s">
        <v>26</v>
      </c>
      <c r="D53" s="2" t="s">
        <v>682</v>
      </c>
      <c r="E53" s="33" t="b">
        <f aca="false">'4f Margin'!B56</f>
        <v>1</v>
      </c>
    </row>
    <row r="54" customFormat="false" ht="15" hidden="false" customHeight="false" outlineLevel="0" collapsed="false">
      <c r="A54" s="2" t="n">
        <v>47</v>
      </c>
      <c r="B54" s="2" t="s">
        <v>683</v>
      </c>
      <c r="C54" s="2" t="s">
        <v>26</v>
      </c>
      <c r="D54" s="2" t="s">
        <v>684</v>
      </c>
      <c r="E54" s="33" t="b">
        <f aca="false">'4f Margin'!C56</f>
        <v>1</v>
      </c>
    </row>
    <row r="55" customFormat="false" ht="15" hidden="false" customHeight="false" outlineLevel="0" collapsed="false">
      <c r="A55" s="2" t="n">
        <v>48</v>
      </c>
      <c r="B55" s="2" t="s">
        <v>685</v>
      </c>
      <c r="C55" s="2" t="s">
        <v>26</v>
      </c>
      <c r="D55" s="2" t="s">
        <v>686</v>
      </c>
      <c r="E55" s="33" t="b">
        <f aca="false">'4f Margin'!D56</f>
        <v>1</v>
      </c>
    </row>
    <row r="56" customFormat="false" ht="15" hidden="false" customHeight="false" outlineLevel="0" collapsed="false">
      <c r="A56" s="2" t="n">
        <v>49</v>
      </c>
      <c r="B56" s="2" t="s">
        <v>687</v>
      </c>
      <c r="C56" s="2" t="s">
        <v>26</v>
      </c>
      <c r="D56" s="2" t="s">
        <v>688</v>
      </c>
      <c r="E56" s="33" t="b">
        <f aca="false">'4f Margin'!E56</f>
        <v>1</v>
      </c>
    </row>
    <row r="57" customFormat="false" ht="15" hidden="false" customHeight="false" outlineLevel="0" collapsed="false">
      <c r="A57" s="2" t="n">
        <v>50</v>
      </c>
      <c r="B57" s="2" t="s">
        <v>689</v>
      </c>
      <c r="C57" s="2" t="s">
        <v>26</v>
      </c>
      <c r="D57" s="2" t="s">
        <v>690</v>
      </c>
      <c r="E57" s="33" t="b">
        <f aca="false">'4f Margin'!E72</f>
        <v>1</v>
      </c>
    </row>
    <row r="58" customFormat="false" ht="15" hidden="false" customHeight="false" outlineLevel="0" collapsed="false">
      <c r="A58" s="2" t="n">
        <v>51</v>
      </c>
      <c r="B58" s="2" t="s">
        <v>691</v>
      </c>
      <c r="C58" s="2" t="s">
        <v>26</v>
      </c>
      <c r="D58" s="2" t="s">
        <v>692</v>
      </c>
      <c r="E58" s="33" t="b">
        <f aca="false">'4f Margin'!D80</f>
        <v>1</v>
      </c>
    </row>
    <row r="59" customFormat="false" ht="15" hidden="false" customHeight="false" outlineLevel="0" collapsed="false">
      <c r="A59" s="2" t="n">
        <v>52</v>
      </c>
      <c r="B59" s="2" t="s">
        <v>693</v>
      </c>
      <c r="C59" s="2" t="s">
        <v>28</v>
      </c>
      <c r="D59" s="2" t="s">
        <v>694</v>
      </c>
      <c r="E59" s="33" t="b">
        <f aca="false">'4g Segments'!C31</f>
        <v>1</v>
      </c>
    </row>
    <row r="60" customFormat="false" ht="15" hidden="false" customHeight="false" outlineLevel="0" collapsed="false">
      <c r="A60" s="2" t="n">
        <v>53</v>
      </c>
      <c r="B60" s="2" t="s">
        <v>695</v>
      </c>
      <c r="C60" s="2" t="s">
        <v>28</v>
      </c>
      <c r="D60" s="2" t="s">
        <v>696</v>
      </c>
      <c r="E60" s="33" t="b">
        <f aca="false">'4g Segments'!C32</f>
        <v>1</v>
      </c>
    </row>
    <row r="61" customFormat="false" ht="15" hidden="false" customHeight="false" outlineLevel="0" collapsed="false">
      <c r="A61" s="2" t="n">
        <v>54</v>
      </c>
      <c r="B61" s="2" t="s">
        <v>697</v>
      </c>
      <c r="C61" s="2" t="s">
        <v>28</v>
      </c>
      <c r="D61" s="2" t="s">
        <v>698</v>
      </c>
      <c r="E61" s="33" t="b">
        <f aca="false">'4g Segments'!C33</f>
        <v>1</v>
      </c>
    </row>
    <row r="62" customFormat="false" ht="15" hidden="false" customHeight="false" outlineLevel="0" collapsed="false">
      <c r="A62" s="2" t="n">
        <v>55</v>
      </c>
      <c r="B62" s="2" t="s">
        <v>699</v>
      </c>
      <c r="C62" s="2" t="s">
        <v>28</v>
      </c>
      <c r="D62" s="2" t="s">
        <v>700</v>
      </c>
      <c r="E62" s="33" t="b">
        <f aca="false">'4g Segments'!C34</f>
        <v>1</v>
      </c>
    </row>
    <row r="63" customFormat="false" ht="15" hidden="false" customHeight="false" outlineLevel="0" collapsed="false">
      <c r="A63" s="2" t="n">
        <v>56</v>
      </c>
      <c r="B63" s="2" t="s">
        <v>701</v>
      </c>
      <c r="C63" s="2" t="s">
        <v>12</v>
      </c>
      <c r="D63" s="2" t="s">
        <v>702</v>
      </c>
      <c r="E63" s="33" t="b">
        <f aca="false">Basis!F27</f>
        <v>1</v>
      </c>
    </row>
  </sheetData>
  <printOptions headings="false" gridLines="false" gridLinesSet="true" horizontalCentered="fals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&amp;C&amp;A</oddHeader>
    <oddFooter>&amp;LProject Northbridge: DRAFT&amp;CPage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2026-09-26T00:00:00Z</dcterms:created>
  <dc:creator>Northbridge pipeline (databook/build_databook.py)</dc:creator>
  <dc:description/>
  <dc:language>en-US</dc:language>
  <cp:lastModifiedBy>Northbridge pipeline (databook/build_databook.py)</cp:lastModifiedBy>
  <dcterms:modified xsi:type="dcterms:W3CDTF">2026-09-26T00:00:00Z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